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  <Override PartName="/xl/tables/table1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rriers" sheetId="3" state="visible" r:id="rId3"/>
    <sheet xmlns:r="http://schemas.openxmlformats.org/officeDocument/2006/relationships" name="Airports" sheetId="4" state="visible" r:id="rId4"/>
    <sheet xmlns:r="http://schemas.openxmlformats.org/officeDocument/2006/relationships" name="Hourly" sheetId="5" state="visible" r:id="rId5"/>
    <sheet xmlns:r="http://schemas.openxmlformats.org/officeDocument/2006/relationships" name="DayMonth" sheetId="6" state="visible" r:id="rId6"/>
    <sheet xmlns:r="http://schemas.openxmlformats.org/officeDocument/2006/relationships" name="Daily" sheetId="7" state="visible" r:id="rId7"/>
    <sheet xmlns:r="http://schemas.openxmlformats.org/officeDocument/2006/relationships" name="Routes" sheetId="8" state="visible" r:id="rId8"/>
    <sheet xmlns:r="http://schemas.openxmlformats.org/officeDocument/2006/relationships" name="DelayCauses" sheetId="9" state="visible" r:id="rId9"/>
    <sheet xmlns:r="http://schemas.openxmlformats.org/officeDocument/2006/relationships" name="ModelMetrics" sheetId="10" state="visible" r:id="rId10"/>
    <sheet xmlns:r="http://schemas.openxmlformats.org/officeDocument/2006/relationships" name="ModelByCarrier" sheetId="11" state="visible" r:id="rId11"/>
    <sheet xmlns:r="http://schemas.openxmlformats.org/officeDocument/2006/relationships" name="FeatureImportance" sheetId="12" state="visible" r:id="rId12"/>
    <sheet xmlns:r="http://schemas.openxmlformats.org/officeDocument/2006/relationships" name="ConfusionMatrix" sheetId="13" state="visible" r:id="rId13"/>
    <sheet xmlns:r="http://schemas.openxmlformats.org/officeDocument/2006/relationships" name="BeforeAfter" sheetId="14" state="visible" r:id="rId14"/>
    <sheet xmlns:r="http://schemas.openxmlformats.org/officeDocument/2006/relationships" name="FlaggedFl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dd mmm"/>
    <numFmt numFmtId="167" formatCode="0.0%"/>
    <numFmt numFmtId="168" formatCode="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44546A"/>
    </font>
    <font>
      <b val="1"/>
      <color rgb="001F4E78"/>
      <sz val="20"/>
    </font>
    <font>
      <b val="1"/>
      <color rgb="0044546A"/>
      <sz val="10"/>
    </font>
    <font>
      <b val="1"/>
      <color rgb="001F4E78"/>
      <sz val="18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F6FC"/>
        <bgColor rgb="00EF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167" fontId="5" fillId="3" borderId="0" applyAlignment="1" pivotButton="0" quotePrefix="0" xfId="0">
      <alignment horizontal="center"/>
    </xf>
    <xf numFmtId="10" fontId="5" fillId="3" borderId="0" applyAlignment="1" pivotButton="0" quotePrefix="0" xfId="0">
      <alignment horizontal="center"/>
    </xf>
    <xf numFmtId="168" fontId="5" fillId="3" borderId="0" applyAlignment="1" pivotButton="0" quotePrefix="0" xfId="0">
      <alignment horizontal="center"/>
    </xf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Arrival % by Carrier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'Summary'!$A$2:$A$16</f>
            </numRef>
          </cat>
          <val>
            <numRef>
              <f>'Summary'!$B$2:$B$16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50"/>
        </scaling>
        <delete val="0"/>
        <axPos val="l"/>
        <majorGridlines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Delay Rate % by Scheduled Departure Hour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'Summary'!$D$2:$D$25</f>
            </numRef>
          </cat>
          <val>
            <numRef>
              <f>'Summary'!$E$2:$E$25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On-Time Arrival %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'Summary'!$G$2:$G$122</f>
            </numRef>
          </cat>
          <val>
            <numRef>
              <f>'Summary'!$H$2:$H$122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 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Delay Minutes by Cause (thousands, 15+ min late flights)</a:t>
            </a:r>
          </a:p>
        </rich>
      </tx>
    </title>
    <plotArea>
      <barChart>
        <barDir val="col"/>
        <grouping val="stacked"/>
        <varyColors val="0"/>
        <ser>
          <idx val="0"/>
          <order val="0"/>
          <tx>
            <strRef>
              <f>'Summary'!K1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'Summary'!$J$2:$J$5</f>
            </numRef>
          </cat>
          <val>
            <numRef>
              <f>'Summary'!$K$2:$K$5</f>
            </numRef>
          </val>
        </ser>
        <ser>
          <idx val="1"/>
          <order val="1"/>
          <tx>
            <strRef>
              <f>'Summary'!L1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'Summary'!$J$2:$J$5</f>
            </numRef>
          </cat>
          <val>
            <numRef>
              <f>'Summary'!$L$2:$L$5</f>
            </numRef>
          </val>
        </ser>
        <ser>
          <idx val="2"/>
          <order val="2"/>
          <tx>
            <strRef>
              <f>'Summary'!M1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'Summary'!$J$2:$J$5</f>
            </numRef>
          </cat>
          <val>
            <numRef>
              <f>'Summary'!$M$2:$M$5</f>
            </numRef>
          </val>
        </ser>
        <ser>
          <idx val="3"/>
          <order val="3"/>
          <tx>
            <strRef>
              <f>'Summary'!N1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'Summary'!$J$2:$J$5</f>
            </numRef>
          </cat>
          <val>
            <numRef>
              <f>'Summary'!$N$2:$N$5</f>
            </numRef>
          </val>
        </ser>
        <ser>
          <idx val="4"/>
          <order val="4"/>
          <tx>
            <strRef>
              <f>'Summary'!O1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'Summary'!$J$2:$J$5</f>
            </numRef>
          </cat>
          <val>
            <numRef>
              <f>'Summary'!$O$2:$O$5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Comparison, Apr 2024 Test Flights, 2 h Before Departure (riskiest 20%)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'Summary'!R1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'Summary'!$Q$2:$Q$5</f>
            </numRef>
          </cat>
          <val>
            <numRef>
              <f>'Summary'!$R$2:$R$5</f>
            </numRef>
          </val>
        </ser>
        <ser>
          <idx val="1"/>
          <order val="1"/>
          <tx>
            <strRef>
              <f>'Summary'!S1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'Summary'!$Q$2:$Q$5</f>
            </numRef>
          </cat>
          <val>
            <numRef>
              <f>'Summary'!$S$2:$S$5</f>
            </numRef>
          </val>
        </ser>
        <ser>
          <idx val="2"/>
          <order val="2"/>
          <tx>
            <strRef>
              <f>'Summary'!T1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'Summary'!$Q$2:$Q$5</f>
            </numRef>
          </cat>
          <val>
            <numRef>
              <f>'Summary'!$T$2:$T$5</f>
            </numRef>
          </val>
        </ser>
        <ser>
          <idx val="3"/>
          <order val="3"/>
          <tx>
            <strRef>
              <f>'Summary'!U1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'Summary'!$Q$2:$Q$5</f>
            </numRef>
          </cat>
          <val>
            <numRef>
              <f>'Summary'!$U$2:$U$5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Most-Delayed of the 30 Busiest Origin Airports (Delay Rate %)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'Summary'!X1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'Summary'!$W$2:$W$11</f>
            </numRef>
          </cat>
          <val>
            <numRef>
              <f>'Summary'!$X$2:$X$11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24</row>
      <rowOff>0</rowOff>
    </from>
    <ext cx="61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42</row>
      <rowOff>0</rowOff>
    </from>
    <ext cx="612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42</row>
      <rowOff>0</rowOff>
    </from>
    <ext cx="612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rrierChart" displayName="CarrierChart" ref="A1:B16" headerRowCount="1">
  <autoFilter ref="A1:B16"/>
  <tableColumns count="2">
    <tableColumn id="1" name="Carrier"/>
    <tableColumn id="2" name="On-Time %"/>
  </tableColumns>
  <tableStyleInfo name="TableStyleMedium2" showRowStripes="1"/>
</table>
</file>

<file path=xl/tables/table2.xml><?xml version="1.0" encoding="utf-8"?>
<table xmlns="http://schemas.openxmlformats.org/spreadsheetml/2006/main" id="2" name="HourChart" displayName="HourChart" ref="D1:E25" headerRowCount="1">
  <autoFilter ref="D1:E25"/>
  <tableColumns count="2">
    <tableColumn id="4" name="Scheduled Hour"/>
    <tableColumn id="5" name="Delay Rate %"/>
  </tableColumns>
  <tableStyleInfo name="TableStyleMedium2" showRowStripes="1"/>
</table>
</file>

<file path=xl/tables/table3.xml><?xml version="1.0" encoding="utf-8"?>
<table xmlns="http://schemas.openxmlformats.org/spreadsheetml/2006/main" id="3" name="DailyChart" displayName="DailyChart" ref="G1:H122" headerRowCount="1">
  <autoFilter ref="G1:H122"/>
  <tableColumns count="2">
    <tableColumn id="7" name="Date"/>
    <tableColumn id="8" name="On-Time %"/>
  </tableColumns>
  <tableStyleInfo name="TableStyleMedium2" showRowStripes="1"/>
</table>
</file>

<file path=xl/tables/table4.xml><?xml version="1.0" encoding="utf-8"?>
<table xmlns="http://schemas.openxmlformats.org/spreadsheetml/2006/main" id="4" name="CausesChart" displayName="CausesChart" ref="J1:O5" headerRowCount="1">
  <autoFilter ref="J1:O5"/>
  <tableColumns count="6">
    <tableColumn id="10" name="Month"/>
    <tableColumn id="11" name="Late Aircraft"/>
    <tableColumn id="12" name="Carrier"/>
    <tableColumn id="13" name="National Air System"/>
    <tableColumn id="14" name="Weather"/>
    <tableColumn id="15" name="Security"/>
  </tableColumns>
  <tableStyleInfo name="TableStyleMedium2" showRowStripes="1"/>
</table>
</file>

<file path=xl/tables/table5.xml><?xml version="1.0" encoding="utf-8"?>
<table xmlns="http://schemas.openxmlformats.org/spreadsheetml/2006/main" id="5" name="ModelChart" displayName="ModelChart" ref="Q1:U5" headerRowCount="1">
  <autoFilter ref="Q1:U5"/>
  <tableColumns count="5">
    <tableColumn id="17" name="Model"/>
    <tableColumn id="18" name="AUC-PR"/>
    <tableColumn id="19" name="AUC-ROC"/>
    <tableColumn id="20" name="Precision (top 20%)"/>
    <tableColumn id="21" name="Recall (top 20%)"/>
  </tableColumns>
  <tableStyleInfo name="TableStyleMedium2" showRowStripes="1"/>
</table>
</file>

<file path=xl/tables/table6.xml><?xml version="1.0" encoding="utf-8"?>
<table xmlns="http://schemas.openxmlformats.org/spreadsheetml/2006/main" id="6" name="AirportChart" displayName="AirportChart" ref="W1:X11" headerRowCount="1">
  <autoFilter ref="W1:X11"/>
  <tableColumns count="2">
    <tableColumn id="23" name="Origin Airport"/>
    <tableColumn id="24" name="Delay Rate %"/>
  </tableColumns>
  <tableStyleInfo name="TableStyleMedium2" showRowStripes="1"/>
</table>
</file>

<file path=xl/tables/table7.xml><?xml version="1.0" encoding="utf-8"?>
<table xmlns="http://schemas.openxmlformats.org/spreadsheetml/2006/main" id="7" name="Carriers" displayName="Carriers" ref="A1:K16" headerRowCount="1">
  <autoFilter ref="A1:K16"/>
  <tableColumns count="11">
    <tableColumn id="1" name="carrier_name"/>
    <tableColumn id="2" name="carrier_code"/>
    <tableColumn id="3" name="scheduled_flights"/>
    <tableColumn id="4" name="cancelled_flights"/>
    <tableColumn id="5" name="diverted_flights"/>
    <tableColumn id="6" name="completed_flights"/>
    <tableColumn id="7" name="delayed_flights"/>
    <tableColumn id="8" name="on_time_pct"/>
    <tableColumn id="9" name="delay_rate_pct"/>
    <tableColumn id="10" name="cancellation_rate_pct"/>
    <tableColumn id="11" name="avg_arr_delay_minutes"/>
  </tableColumns>
  <tableStyleInfo name="TableStyleMedium2" showRowStripes="1"/>
</table>
</file>

<file path=xl/tables/table8.xml><?xml version="1.0" encoding="utf-8"?>
<table xmlns="http://schemas.openxmlformats.org/spreadsheetml/2006/main" id="8" name="Airports" displayName="Airports" ref="A1:O166" headerRowCount="1">
  <autoFilter ref="A1:O166"/>
  <tableColumns count="15">
    <tableColumn id="1" name="airport_code"/>
    <tableColumn id="2" name="airport_name"/>
    <tableColumn id="3" name="city_name"/>
    <tableColumn id="4" name="state_code"/>
    <tableColumn id="5" name="latitude"/>
    <tableColumn id="6" name="longitude"/>
    <tableColumn id="7" name="scheduled_flights"/>
    <tableColumn id="8" name="cancelled_flights"/>
    <tableColumn id="9" name="diverted_flights"/>
    <tableColumn id="10" name="completed_flights"/>
    <tableColumn id="11" name="delayed_flights"/>
    <tableColumn id="12" name="on_time_pct"/>
    <tableColumn id="13" name="delay_rate_pct"/>
    <tableColumn id="14" name="cancellation_rate_pct"/>
    <tableColumn id="15" name="avg_arr_delay_minutes"/>
  </tableColumns>
  <tableStyleInfo name="TableStyleMedium2" showRowStripes="1"/>
</table>
</file>

<file path=xl/tables/table9.xml><?xml version="1.0" encoding="utf-8"?>
<table xmlns="http://schemas.openxmlformats.org/spreadsheetml/2006/main" id="9" name="Hourly" displayName="Hourly" ref="A1:J25" headerRowCount="1">
  <autoFilter ref="A1:J25"/>
  <tableColumns count="10">
    <tableColumn id="1" name="dep_hour"/>
    <tableColumn id="2" name="scheduled_flights"/>
    <tableColumn id="3" name="cancelled_flights"/>
    <tableColumn id="4" name="diverted_flights"/>
    <tableColumn id="5" name="completed_flights"/>
    <tableColumn id="6" name="delayed_flights"/>
    <tableColumn id="7" name="on_time_pct"/>
    <tableColumn id="8" name="delay_rate_pct"/>
    <tableColumn id="9" name="cancellation_rate_pct"/>
    <tableColumn id="10" name="avg_arr_delay_minutes"/>
  </tableColumns>
  <tableStyleInfo name="TableStyleMedium2" showRowStripes="1"/>
</table>
</file>

<file path=xl/tables/table10.xml><?xml version="1.0" encoding="utf-8"?>
<table xmlns="http://schemas.openxmlformats.org/spreadsheetml/2006/main" id="10" name="DayMonth" displayName="DayMonth" ref="A1:M29" headerRowCount="1">
  <autoFilter ref="A1:M29"/>
  <tableColumns count="13">
    <tableColumn id="1" name="flight_month"/>
    <tableColumn id="2" name="month_name"/>
    <tableColumn id="3" name="day_of_week"/>
    <tableColumn id="4" name="day_name"/>
    <tableColumn id="5" name="scheduled_flights"/>
    <tableColumn id="6" name="cancelled_flights"/>
    <tableColumn id="7" name="diverted_flights"/>
    <tableColumn id="8" name="completed_flights"/>
    <tableColumn id="9" name="delayed_flights"/>
    <tableColumn id="10" name="on_time_pct"/>
    <tableColumn id="11" name="delay_rate_pct"/>
    <tableColumn id="12" name="cancellation_rate_pct"/>
    <tableColumn id="13" name="avg_arr_delay_minutes"/>
  </tableColumns>
  <tableStyleInfo name="TableStyleMedium2" showRowStripes="1"/>
</table>
</file>

<file path=xl/tables/table11.xml><?xml version="1.0" encoding="utf-8"?>
<table xmlns="http://schemas.openxmlformats.org/spreadsheetml/2006/main" id="11" name="Daily" displayName="Daily" ref="A1:J122" headerRowCount="1">
  <autoFilter ref="A1:J122"/>
  <tableColumns count="10">
    <tableColumn id="1" name="flight_date"/>
    <tableColumn id="2" name="scheduled_flights"/>
    <tableColumn id="3" name="cancelled_flights"/>
    <tableColumn id="4" name="diverted_flights"/>
    <tableColumn id="5" name="completed_flights"/>
    <tableColumn id="6" name="delayed_flights"/>
    <tableColumn id="7" name="on_time_pct"/>
    <tableColumn id="8" name="delay_rate_pct"/>
    <tableColumn id="9" name="cancellation_rate_pct"/>
    <tableColumn id="10" name="avg_arr_delay_minutes"/>
  </tableColumns>
  <tableStyleInfo name="TableStyleMedium2" showRowStripes="1"/>
</table>
</file>

<file path=xl/tables/table12.xml><?xml version="1.0" encoding="utf-8"?>
<table xmlns="http://schemas.openxmlformats.org/spreadsheetml/2006/main" id="12" name="Routes" displayName="Routes" ref="A1:M21" headerRowCount="1">
  <autoFilter ref="A1:M21"/>
  <tableColumns count="13">
    <tableColumn id="1" name="delay_rank"/>
    <tableColumn id="2" name="route"/>
    <tableColumn id="3" name="origin_airport_code"/>
    <tableColumn id="4" name="dest_airport_code"/>
    <tableColumn id="5" name="scheduled_flights"/>
    <tableColumn id="6" name="cancelled_flights"/>
    <tableColumn id="7" name="diverted_flights"/>
    <tableColumn id="8" name="completed_flights"/>
    <tableColumn id="9" name="delayed_flights"/>
    <tableColumn id="10" name="on_time_pct"/>
    <tableColumn id="11" name="delay_rate_pct"/>
    <tableColumn id="12" name="cancellation_rate_pct"/>
    <tableColumn id="13" name="avg_arr_delay_minutes"/>
  </tableColumns>
  <tableStyleInfo name="TableStyleMedium2" showRowStripes="1"/>
</table>
</file>

<file path=xl/tables/table13.xml><?xml version="1.0" encoding="utf-8"?>
<table xmlns="http://schemas.openxmlformats.org/spreadsheetml/2006/main" id="13" name="DelayCauses" displayName="DelayCauses" ref="A1:E21" headerRowCount="1">
  <autoFilter ref="A1:E21"/>
  <tableColumns count="5">
    <tableColumn id="1" name="flight_month"/>
    <tableColumn id="2" name="month_name"/>
    <tableColumn id="3" name="cause"/>
    <tableColumn id="4" name="delay_minutes"/>
    <tableColumn id="5" name="share_of_month_pct"/>
  </tableColumns>
  <tableStyleInfo name="TableStyleMedium2" showRowStripes="1"/>
</table>
</file>

<file path=xl/tables/table14.xml><?xml version="1.0" encoding="utf-8"?>
<table xmlns="http://schemas.openxmlformats.org/spreadsheetml/2006/main" id="14" name="ModelMetrics" displayName="ModelMetrics" ref="A1:K5" headerRowCount="1">
  <autoFilter ref="A1:K5"/>
  <tableColumns count="11">
    <tableColumn id="1" name="model"/>
    <tableColumn id="2" name="auc_pr"/>
    <tableColumn id="3" name="auc_roc"/>
    <tableColumn id="4" name="precision"/>
    <tableColumn id="5" name="recall"/>
    <tableColumn id="6" name="f1_score"/>
    <tableColumn id="7" name="accuracy"/>
    <tableColumn id="8" name="predicted_positive_rate"/>
    <tableColumn id="9" name="precision_at_10pct"/>
    <tableColumn id="10" name="recall_at_10pct"/>
    <tableColumn id="11" name="test_month"/>
  </tableColumns>
  <tableStyleInfo name="TableStyleMedium2" showRowStripes="1"/>
</table>
</file>

<file path=xl/tables/table15.xml><?xml version="1.0" encoding="utf-8"?>
<table xmlns="http://schemas.openxmlformats.org/spreadsheetml/2006/main" id="15" name="ModelByCarrier" displayName="ModelByCarrier" ref="A1:E16" headerRowCount="1">
  <autoFilter ref="A1:E16"/>
  <tableColumns count="5">
    <tableColumn id="1" name="carrier_name"/>
    <tableColumn id="2" name="test_flights"/>
    <tableColumn id="3" name="actual_delay_rate_pct"/>
    <tableColumn id="4" name="mean_predicted_probability_pct"/>
    <tableColumn id="5" name="flagged_pct"/>
  </tableColumns>
  <tableStyleInfo name="TableStyleMedium2" showRowStripes="1"/>
</table>
</file>

<file path=xl/tables/table16.xml><?xml version="1.0" encoding="utf-8"?>
<table xmlns="http://schemas.openxmlformats.org/spreadsheetml/2006/main" id="16" name="FeatureImportance" displayName="FeatureImportance" ref="A1:B54" headerRowCount="1">
  <autoFilter ref="A1:B54"/>
  <tableColumns count="2">
    <tableColumn id="1" name="feature"/>
    <tableColumn id="2" name="mean_abs_shap"/>
  </tableColumns>
  <tableStyleInfo name="TableStyleMedium2" showRowStripes="1"/>
</table>
</file>

<file path=xl/tables/table17.xml><?xml version="1.0" encoding="utf-8"?>
<table xmlns="http://schemas.openxmlformats.org/spreadsheetml/2006/main" id="17" name="ConfusionMatrix" displayName="ConfusionMatrix" ref="A1:C5" headerRowCount="1">
  <autoFilter ref="A1:C5"/>
  <tableColumns count="3">
    <tableColumn id="1" name="actual"/>
    <tableColumn id="2" name="predicted"/>
    <tableColumn id="3" name="flights"/>
  </tableColumns>
  <tableStyleInfo name="TableStyleMedium2" showRowStripes="1"/>
</table>
</file>

<file path=xl/tables/table18.xml><?xml version="1.0" encoding="utf-8"?>
<table xmlns="http://schemas.openxmlformats.org/spreadsheetml/2006/main" id="18" name="BeforeAfter" displayName="BeforeAfter" ref="A1:G3" headerRowCount="1">
  <autoFilter ref="A1:G3"/>
  <tableColumns count="7">
    <tableColumn id="1" name="feature_set"/>
    <tableColumn id="2" name="auc_roc"/>
    <tableColumn id="3" name="auc_pr"/>
    <tableColumn id="4" name="precision"/>
    <tableColumn id="5" name="recall"/>
    <tableColumn id="6" name="precision_at_10pct"/>
    <tableColumn id="7" name="recall_at_10pct"/>
  </tableColumns>
  <tableStyleInfo name="TableStyleMedium2" showRowStripes="1"/>
</table>
</file>

<file path=xl/tables/table19.xml><?xml version="1.0" encoding="utf-8"?>
<table xmlns="http://schemas.openxmlformats.org/spreadsheetml/2006/main" id="19" name="FlaggedFlights" displayName="FlaggedFlights" ref="A3:L503" headerRowCount="1">
  <autoFilter ref="A3:L503"/>
  <tableColumns count="12">
    <tableColumn id="1" name="flight_key"/>
    <tableColumn id="2" name="flight_date"/>
    <tableColumn id="3" name="carrier_code"/>
    <tableColumn id="4" name="origin"/>
    <tableColumn id="5" name="dest"/>
    <tableColumn id="6" name="route"/>
    <tableColumn id="7" name="dep_hour"/>
    <tableColumn id="8" name="actual_delayed"/>
    <tableColumn id="9" name="delay_probability"/>
    <tableColumn id="10" name="predicted_delayed"/>
    <tableColumn id="11" name="inbound_known_delay_min"/>
    <tableColumn id="12" name="top_reas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US Airline Flight Delays Dashboard (BTS On-Time Performance, Jan-Apr 2024)</t>
        </is>
      </c>
    </row>
    <row r="2">
      <c r="A2" s="2" t="inlineStr">
        <is>
          <t>Operations KPIs over all scheduled flights. Model KPIs: LightGBM predicting a 15+ min arrival delay 2 hours before scheduled departure (inbound aircraft, airport congestion, weather, schedule), fit on earlier months and scored once on the unseen Apr 2024 flights; precision/recall: each model flags its riskiest 20% (or 10%).</t>
        </is>
      </c>
    </row>
    <row r="3">
      <c r="A3" s="3" t="inlineStr">
        <is>
          <t>Total Scheduled Flights</t>
        </is>
      </c>
      <c r="C3" s="3" t="inlineStr">
        <is>
          <t>On-Time Arrival %</t>
        </is>
      </c>
      <c r="E3" s="3" t="inlineStr">
        <is>
          <t>Cancellation Rate</t>
        </is>
      </c>
      <c r="G3" s="3" t="inlineStr">
        <is>
          <t>Model AUC-PR (headline)</t>
        </is>
      </c>
      <c r="I3" s="3" t="inlineStr">
        <is>
          <t>Precision (riskiest 20%)</t>
        </is>
      </c>
      <c r="K3" s="3" t="inlineStr">
        <is>
          <t>Recall (riskiest 20%)</t>
        </is>
      </c>
      <c r="M3" s="3" t="inlineStr">
        <is>
          <t>Precision (riskiest 10%)</t>
        </is>
      </c>
      <c r="O3" s="3" t="inlineStr">
        <is>
          <t>Recall (riskiest 10%)</t>
        </is>
      </c>
    </row>
    <row r="4">
      <c r="A4" s="4">
        <f>SUM(Carriers[scheduled_flights])</f>
        <v/>
      </c>
      <c r="C4" s="5">
        <f>1-SUM(Carriers[delayed_flights])/SUM(Carriers[completed_flights])</f>
        <v/>
      </c>
      <c r="E4" s="6">
        <f>SUM(Carriers[cancelled_flights])/SUM(Carriers[scheduled_flights])</f>
        <v/>
      </c>
      <c r="G4" s="7">
        <f>INDEX(ModelMetrics[auc_pr],MATCH("LightGBM",ModelMetrics[model],0))</f>
        <v/>
      </c>
      <c r="I4" s="5">
        <f>INDEX(ModelMetrics[precision],MATCH("LightGBM",ModelMetrics[model],0))</f>
        <v/>
      </c>
      <c r="K4" s="5">
        <f>INDEX(ModelMetrics[recall],MATCH("LightGBM",ModelMetrics[model],0))</f>
        <v/>
      </c>
      <c r="M4" s="5">
        <f>INDEX(ModelMetrics[precision_at_10pct],MATCH("LightGBM",ModelMetrics[model],0))</f>
        <v/>
      </c>
      <c r="O4" s="5">
        <f>INDEX(ModelMetrics[recall_at_10pct],MATCH("LightGBM",ModelMetrics[model],0))</f>
        <v/>
      </c>
    </row>
    <row r="5">
      <c r="A5" s="2">
        <f>"AUC-PR baselines: historical carrier+route rate "&amp;TEXT(INDEX(ModelMetrics[auc_pr],MATCH("Historical rate rule (carrier+route)",ModelMetrics[model],0)),"0.000")&amp;", inbound-aircraft delay rule "&amp;TEXT(INDEX(ModelMetrics[auc_pr],MATCH("Inbound-delay rule",ModelMetrics[model],0)),"0.000")&amp;", logistic regression "&amp;TEXT(INDEX(ModelMetrics[auc_pr],MATCH("Logistic regression",ModelMetrics[model],0)),"0.000")&amp;". A random guess scores the test-month delay rate: "&amp;TEXT(SUMIFS(ConfusionMatrix[flights],ConfusionMatrix[actual],"Delayed")/SUM(ConfusionMatrix[flights]),"0.000")</f>
        <v/>
      </c>
    </row>
  </sheetData>
  <mergeCells count="16">
    <mergeCell ref="A4:B4"/>
    <mergeCell ref="G4:H4"/>
    <mergeCell ref="E4:F4"/>
    <mergeCell ref="O3:P3"/>
    <mergeCell ref="I4:J4"/>
    <mergeCell ref="M4:N4"/>
    <mergeCell ref="I3:J3"/>
    <mergeCell ref="O4:P4"/>
    <mergeCell ref="M3:N3"/>
    <mergeCell ref="K4:L4"/>
    <mergeCell ref="C3:D3"/>
    <mergeCell ref="A3:B3"/>
    <mergeCell ref="G3:H3"/>
    <mergeCell ref="E3:F3"/>
    <mergeCell ref="K3:L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4" max="4"/>
    <col width="16" customWidth="1" min="5" max="5"/>
    <col width="12" customWidth="1" min="7" max="7"/>
    <col width="13" customWidth="1" min="8" max="8"/>
    <col width="12" customWidth="1" min="10" max="10"/>
    <col width="17" customWidth="1" min="11" max="11"/>
    <col width="12" customWidth="1" min="12" max="12"/>
    <col width="23" customWidth="1" min="13" max="13"/>
    <col width="12" customWidth="1" min="14" max="14"/>
    <col width="12" customWidth="1" min="15" max="15"/>
    <col width="12" customWidth="1" min="17" max="17"/>
    <col width="12" customWidth="1" min="18" max="18"/>
    <col width="12" customWidth="1" min="19" max="19"/>
    <col width="23" customWidth="1" min="20" max="20"/>
    <col width="20" customWidth="1" min="21" max="21"/>
    <col width="18" customWidth="1" min="23" max="23"/>
    <col width="16" customWidth="1" min="24" max="24"/>
  </cols>
  <sheetData>
    <row r="1">
      <c r="A1" s="8" t="inlineStr">
        <is>
          <t>Carrier</t>
        </is>
      </c>
      <c r="B1" s="8" t="inlineStr">
        <is>
          <t>On-Time %</t>
        </is>
      </c>
      <c r="D1" s="8" t="inlineStr">
        <is>
          <t>Scheduled Hour</t>
        </is>
      </c>
      <c r="E1" s="8" t="inlineStr">
        <is>
          <t>Delay Rate %</t>
        </is>
      </c>
      <c r="G1" s="8" t="inlineStr">
        <is>
          <t>Date</t>
        </is>
      </c>
      <c r="H1" s="8" t="inlineStr">
        <is>
          <t>On-Time %</t>
        </is>
      </c>
      <c r="J1" s="8" t="inlineStr">
        <is>
          <t>Month</t>
        </is>
      </c>
      <c r="K1" s="8" t="inlineStr">
        <is>
          <t>Late Aircraft</t>
        </is>
      </c>
      <c r="L1" s="8" t="inlineStr">
        <is>
          <t>Carrier</t>
        </is>
      </c>
      <c r="M1" s="8" t="inlineStr">
        <is>
          <t>National Air System</t>
        </is>
      </c>
      <c r="N1" s="8" t="inlineStr">
        <is>
          <t>Weather</t>
        </is>
      </c>
      <c r="O1" s="8" t="inlineStr">
        <is>
          <t>Security</t>
        </is>
      </c>
      <c r="Q1" s="8" t="inlineStr">
        <is>
          <t>Model</t>
        </is>
      </c>
      <c r="R1" s="8" t="inlineStr">
        <is>
          <t>AUC-PR</t>
        </is>
      </c>
      <c r="S1" s="8" t="inlineStr">
        <is>
          <t>AUC-ROC</t>
        </is>
      </c>
      <c r="T1" s="8" t="inlineStr">
        <is>
          <t>Precision (top 20%)</t>
        </is>
      </c>
      <c r="U1" s="8" t="inlineStr">
        <is>
          <t>Recall (top 20%)</t>
        </is>
      </c>
      <c r="W1" s="8" t="inlineStr">
        <is>
          <t>Origin Airport</t>
        </is>
      </c>
      <c r="X1" s="8" t="inlineStr">
        <is>
          <t>Delay Rate %</t>
        </is>
      </c>
    </row>
    <row r="2">
      <c r="A2" t="inlineStr">
        <is>
          <t>Republic Airways</t>
        </is>
      </c>
      <c r="B2" t="n">
        <v>88.59999999999999</v>
      </c>
      <c r="D2" t="inlineStr">
        <is>
          <t>00:00</t>
        </is>
      </c>
      <c r="E2" t="n">
        <v>19.6</v>
      </c>
      <c r="G2" s="9" t="n">
        <v>45292</v>
      </c>
      <c r="H2" t="n">
        <v>88.7</v>
      </c>
      <c r="J2" t="inlineStr">
        <is>
          <t>Jan</t>
        </is>
      </c>
      <c r="K2" t="n">
        <v>3715.6</v>
      </c>
      <c r="L2" t="n">
        <v>3111.4</v>
      </c>
      <c r="M2" t="n">
        <v>1709.7</v>
      </c>
      <c r="N2" t="n">
        <v>979.4</v>
      </c>
      <c r="O2" t="n">
        <v>22.6</v>
      </c>
      <c r="Q2" t="inlineStr">
        <is>
          <t>Historical rate rule (carrier+route)</t>
        </is>
      </c>
      <c r="R2" t="n">
        <v>0.2578</v>
      </c>
      <c r="S2" t="n">
        <v>0.5937</v>
      </c>
      <c r="T2" t="n">
        <v>0.2688</v>
      </c>
      <c r="U2" t="n">
        <v>0.2821</v>
      </c>
      <c r="W2" t="inlineStr">
        <is>
          <t>FLL</t>
        </is>
      </c>
      <c r="X2" t="n">
        <v>29</v>
      </c>
    </row>
    <row r="3">
      <c r="A3" t="inlineStr">
        <is>
          <t>Endeavor Air</t>
        </is>
      </c>
      <c r="B3" t="n">
        <v>85.40000000000001</v>
      </c>
      <c r="D3" t="inlineStr">
        <is>
          <t>01:00</t>
        </is>
      </c>
      <c r="E3" t="n">
        <v>23.2</v>
      </c>
      <c r="G3" s="9" t="n">
        <v>45293</v>
      </c>
      <c r="H3" t="n">
        <v>81.5</v>
      </c>
      <c r="J3" t="inlineStr">
        <is>
          <t>Feb</t>
        </is>
      </c>
      <c r="K3" t="n">
        <v>1938.9</v>
      </c>
      <c r="L3" t="n">
        <v>1885.6</v>
      </c>
      <c r="M3" t="n">
        <v>1138.4</v>
      </c>
      <c r="N3" t="n">
        <v>280.3</v>
      </c>
      <c r="O3" t="n">
        <v>14.1</v>
      </c>
      <c r="Q3" t="inlineStr">
        <is>
          <t>Inbound-delay rule</t>
        </is>
      </c>
      <c r="R3" t="n">
        <v>0.3149</v>
      </c>
      <c r="S3" t="n">
        <v>0.6477000000000001</v>
      </c>
      <c r="T3" t="n">
        <v>0.3769</v>
      </c>
      <c r="U3" t="n">
        <v>0.3955</v>
      </c>
      <c r="W3" t="inlineStr">
        <is>
          <t>MIA</t>
        </is>
      </c>
      <c r="X3" t="n">
        <v>28.9</v>
      </c>
    </row>
    <row r="4">
      <c r="A4" t="inlineStr">
        <is>
          <t>Delta Air Lines</t>
        </is>
      </c>
      <c r="B4" t="n">
        <v>84.40000000000001</v>
      </c>
      <c r="D4" t="inlineStr">
        <is>
          <t>02:00</t>
        </is>
      </c>
      <c r="E4" t="n">
        <v>23.2</v>
      </c>
      <c r="G4" s="9" t="n">
        <v>45294</v>
      </c>
      <c r="H4" t="n">
        <v>82</v>
      </c>
      <c r="J4" t="inlineStr">
        <is>
          <t>Mar</t>
        </is>
      </c>
      <c r="K4" t="n">
        <v>3583.3</v>
      </c>
      <c r="L4" t="n">
        <v>2735.4</v>
      </c>
      <c r="M4" t="n">
        <v>1823.3</v>
      </c>
      <c r="N4" t="n">
        <v>358</v>
      </c>
      <c r="O4" t="n">
        <v>17.7</v>
      </c>
      <c r="Q4" t="inlineStr">
        <is>
          <t>Logistic regression</t>
        </is>
      </c>
      <c r="R4" t="n">
        <v>0.5104</v>
      </c>
      <c r="S4" t="n">
        <v>0.7642</v>
      </c>
      <c r="T4" t="n">
        <v>0.4839</v>
      </c>
      <c r="U4" t="n">
        <v>0.5078</v>
      </c>
      <c r="W4" t="inlineStr">
        <is>
          <t>DFW</t>
        </is>
      </c>
      <c r="X4" t="n">
        <v>25.9</v>
      </c>
    </row>
    <row r="5">
      <c r="A5" t="inlineStr">
        <is>
          <t>Hawaiian Airlines</t>
        </is>
      </c>
      <c r="B5" t="n">
        <v>81.8</v>
      </c>
      <c r="D5" t="inlineStr">
        <is>
          <t>03:00</t>
        </is>
      </c>
      <c r="E5" t="n">
        <v>21.3</v>
      </c>
      <c r="G5" s="9" t="n">
        <v>45295</v>
      </c>
      <c r="H5" t="n">
        <v>88.2</v>
      </c>
      <c r="J5" t="inlineStr">
        <is>
          <t>Apr</t>
        </is>
      </c>
      <c r="K5" t="n">
        <v>3102.1</v>
      </c>
      <c r="L5" t="n">
        <v>2537.5</v>
      </c>
      <c r="M5" t="n">
        <v>1515.1</v>
      </c>
      <c r="N5" t="n">
        <v>388.2</v>
      </c>
      <c r="O5" t="n">
        <v>15.5</v>
      </c>
      <c r="Q5" t="inlineStr">
        <is>
          <t>LightGBM</t>
        </is>
      </c>
      <c r="R5" t="n">
        <v>0.633</v>
      </c>
      <c r="S5" t="n">
        <v>0.8088</v>
      </c>
      <c r="T5" t="n">
        <v>0.5489000000000001</v>
      </c>
      <c r="U5" t="n">
        <v>0.576</v>
      </c>
      <c r="W5" t="inlineStr">
        <is>
          <t>SFO</t>
        </is>
      </c>
      <c r="X5" t="n">
        <v>25.3</v>
      </c>
    </row>
    <row r="6">
      <c r="A6" t="inlineStr">
        <is>
          <t>SkyWest Airlines</t>
        </is>
      </c>
      <c r="B6" t="n">
        <v>81.59999999999999</v>
      </c>
      <c r="D6" t="inlineStr">
        <is>
          <t>04:00</t>
        </is>
      </c>
      <c r="E6" t="n">
        <v>22.8</v>
      </c>
      <c r="G6" s="9" t="n">
        <v>45296</v>
      </c>
      <c r="H6" t="n">
        <v>86.3</v>
      </c>
      <c r="W6" t="inlineStr">
        <is>
          <t>MCO</t>
        </is>
      </c>
      <c r="X6" t="n">
        <v>25.2</v>
      </c>
    </row>
    <row r="7">
      <c r="A7" t="inlineStr">
        <is>
          <t>United Airlines</t>
        </is>
      </c>
      <c r="B7" t="n">
        <v>81.09999999999999</v>
      </c>
      <c r="D7" t="inlineStr">
        <is>
          <t>05:00</t>
        </is>
      </c>
      <c r="E7" t="n">
        <v>9.699999999999999</v>
      </c>
      <c r="G7" s="9" t="n">
        <v>45297</v>
      </c>
      <c r="H7" t="n">
        <v>69.8</v>
      </c>
      <c r="W7" t="inlineStr">
        <is>
          <t>DEN</t>
        </is>
      </c>
      <c r="X7" t="n">
        <v>23.9</v>
      </c>
    </row>
    <row r="8">
      <c r="A8" t="inlineStr">
        <is>
          <t>PSA Airlines</t>
        </is>
      </c>
      <c r="B8" t="n">
        <v>80.7</v>
      </c>
      <c r="D8" t="inlineStr">
        <is>
          <t>06:00</t>
        </is>
      </c>
      <c r="E8" t="n">
        <v>10.3</v>
      </c>
      <c r="G8" s="9" t="n">
        <v>45298</v>
      </c>
      <c r="H8" t="n">
        <v>71.3</v>
      </c>
      <c r="W8" t="inlineStr">
        <is>
          <t>CLT</t>
        </is>
      </c>
      <c r="X8" t="n">
        <v>23.8</v>
      </c>
    </row>
    <row r="9">
      <c r="A9" t="inlineStr">
        <is>
          <t>Allegiant Air</t>
        </is>
      </c>
      <c r="B9" t="n">
        <v>80.5</v>
      </c>
      <c r="D9" t="inlineStr">
        <is>
          <t>07:00</t>
        </is>
      </c>
      <c r="E9" t="n">
        <v>12.9</v>
      </c>
      <c r="G9" s="9" t="n">
        <v>45299</v>
      </c>
      <c r="H9" t="n">
        <v>70.40000000000001</v>
      </c>
      <c r="W9" t="inlineStr">
        <is>
          <t>BWI</t>
        </is>
      </c>
      <c r="X9" t="n">
        <v>23.4</v>
      </c>
    </row>
    <row r="10">
      <c r="A10" t="inlineStr">
        <is>
          <t>Envoy Air</t>
        </is>
      </c>
      <c r="B10" t="n">
        <v>80.40000000000001</v>
      </c>
      <c r="D10" t="inlineStr">
        <is>
          <t>08:00</t>
        </is>
      </c>
      <c r="E10" t="n">
        <v>14.3</v>
      </c>
      <c r="G10" s="9" t="n">
        <v>45300</v>
      </c>
      <c r="H10" t="n">
        <v>54.8</v>
      </c>
      <c r="W10" t="inlineStr">
        <is>
          <t>LAS</t>
        </is>
      </c>
      <c r="X10" t="n">
        <v>22.2</v>
      </c>
    </row>
    <row r="11">
      <c r="A11" t="inlineStr">
        <is>
          <t>Southwest Airlines</t>
        </is>
      </c>
      <c r="B11" t="n">
        <v>79.3</v>
      </c>
      <c r="D11" t="inlineStr">
        <is>
          <t>09:00</t>
        </is>
      </c>
      <c r="E11" t="n">
        <v>16.1</v>
      </c>
      <c r="G11" s="9" t="n">
        <v>45301</v>
      </c>
      <c r="H11" t="n">
        <v>79.5</v>
      </c>
      <c r="W11" t="inlineStr">
        <is>
          <t>TPA</t>
        </is>
      </c>
      <c r="X11" t="n">
        <v>21.5</v>
      </c>
    </row>
    <row r="12">
      <c r="A12" t="inlineStr">
        <is>
          <t>Alaska Airlines</t>
        </is>
      </c>
      <c r="B12" t="n">
        <v>78.40000000000001</v>
      </c>
      <c r="D12" t="inlineStr">
        <is>
          <t>10:00</t>
        </is>
      </c>
      <c r="E12" t="n">
        <v>17.1</v>
      </c>
      <c r="G12" s="9" t="n">
        <v>45302</v>
      </c>
      <c r="H12" t="n">
        <v>79</v>
      </c>
    </row>
    <row r="13">
      <c r="A13" t="inlineStr">
        <is>
          <t>Spirit Airlines</t>
        </is>
      </c>
      <c r="B13" t="n">
        <v>76.3</v>
      </c>
      <c r="D13" t="inlineStr">
        <is>
          <t>11:00</t>
        </is>
      </c>
      <c r="E13" t="n">
        <v>18.1</v>
      </c>
      <c r="G13" s="9" t="n">
        <v>45303</v>
      </c>
      <c r="H13" t="n">
        <v>60.7</v>
      </c>
    </row>
    <row r="14">
      <c r="A14" t="inlineStr">
        <is>
          <t>American Airlines</t>
        </is>
      </c>
      <c r="B14" t="n">
        <v>75.09999999999999</v>
      </c>
      <c r="D14" t="inlineStr">
        <is>
          <t>12:00</t>
        </is>
      </c>
      <c r="E14" t="n">
        <v>19.2</v>
      </c>
      <c r="G14" s="9" t="n">
        <v>45304</v>
      </c>
      <c r="H14" t="n">
        <v>63.9</v>
      </c>
    </row>
    <row r="15">
      <c r="A15" t="inlineStr">
        <is>
          <t>JetBlue Airways</t>
        </is>
      </c>
      <c r="B15" t="n">
        <v>73.40000000000001</v>
      </c>
      <c r="D15" t="inlineStr">
        <is>
          <t>13:00</t>
        </is>
      </c>
      <c r="E15" t="n">
        <v>21</v>
      </c>
      <c r="G15" s="9" t="n">
        <v>45305</v>
      </c>
      <c r="H15" t="n">
        <v>61.3</v>
      </c>
    </row>
    <row r="16">
      <c r="A16" t="inlineStr">
        <is>
          <t>Frontier Airlines</t>
        </is>
      </c>
      <c r="B16" t="n">
        <v>72.59999999999999</v>
      </c>
      <c r="D16" t="inlineStr">
        <is>
          <t>14:00</t>
        </is>
      </c>
      <c r="E16" t="n">
        <v>22.4</v>
      </c>
      <c r="G16" s="9" t="n">
        <v>45306</v>
      </c>
      <c r="H16" t="n">
        <v>50.2</v>
      </c>
    </row>
    <row r="17">
      <c r="D17" t="inlineStr">
        <is>
          <t>15:00</t>
        </is>
      </c>
      <c r="E17" t="n">
        <v>23.4</v>
      </c>
      <c r="G17" s="9" t="n">
        <v>45307</v>
      </c>
      <c r="H17" t="n">
        <v>48.5</v>
      </c>
    </row>
    <row r="18">
      <c r="D18" t="inlineStr">
        <is>
          <t>16:00</t>
        </is>
      </c>
      <c r="E18" t="n">
        <v>25.2</v>
      </c>
      <c r="G18" s="9" t="n">
        <v>45308</v>
      </c>
      <c r="H18" t="n">
        <v>73.09999999999999</v>
      </c>
    </row>
    <row r="19">
      <c r="D19" t="inlineStr">
        <is>
          <t>17:00</t>
        </is>
      </c>
      <c r="E19" t="n">
        <v>25.3</v>
      </c>
      <c r="G19" s="9" t="n">
        <v>45309</v>
      </c>
      <c r="H19" t="n">
        <v>80.2</v>
      </c>
    </row>
    <row r="20">
      <c r="D20" t="inlineStr">
        <is>
          <t>18:00</t>
        </is>
      </c>
      <c r="E20" t="n">
        <v>26.9</v>
      </c>
      <c r="G20" s="9" t="n">
        <v>45310</v>
      </c>
      <c r="H20" t="n">
        <v>62.7</v>
      </c>
    </row>
    <row r="21">
      <c r="D21" t="inlineStr">
        <is>
          <t>19:00</t>
        </is>
      </c>
      <c r="E21" t="n">
        <v>27.6</v>
      </c>
      <c r="G21" s="9" t="n">
        <v>45311</v>
      </c>
      <c r="H21" t="n">
        <v>80.5</v>
      </c>
    </row>
    <row r="22">
      <c r="D22" t="inlineStr">
        <is>
          <t>20:00</t>
        </is>
      </c>
      <c r="E22" t="n">
        <v>27.4</v>
      </c>
      <c r="G22" s="9" t="n">
        <v>45312</v>
      </c>
      <c r="H22" t="n">
        <v>80.90000000000001</v>
      </c>
    </row>
    <row r="23">
      <c r="D23" t="inlineStr">
        <is>
          <t>21:00</t>
        </is>
      </c>
      <c r="E23" t="n">
        <v>24.4</v>
      </c>
      <c r="G23" s="9" t="n">
        <v>45313</v>
      </c>
      <c r="H23" t="n">
        <v>75</v>
      </c>
    </row>
    <row r="24">
      <c r="D24" t="inlineStr">
        <is>
          <t>22:00</t>
        </is>
      </c>
      <c r="E24" t="n">
        <v>23.8</v>
      </c>
      <c r="G24" s="9" t="n">
        <v>45314</v>
      </c>
      <c r="H24" t="n">
        <v>78.90000000000001</v>
      </c>
    </row>
    <row r="25">
      <c r="D25" t="inlineStr">
        <is>
          <t>23:00</t>
        </is>
      </c>
      <c r="E25" t="n">
        <v>19.5</v>
      </c>
      <c r="G25" s="9" t="n">
        <v>45315</v>
      </c>
      <c r="H25" t="n">
        <v>78.3</v>
      </c>
    </row>
    <row r="26">
      <c r="G26" s="9" t="n">
        <v>45316</v>
      </c>
      <c r="H26" t="n">
        <v>77.09999999999999</v>
      </c>
    </row>
    <row r="27">
      <c r="G27" s="9" t="n">
        <v>45317</v>
      </c>
      <c r="H27" t="n">
        <v>81.09999999999999</v>
      </c>
    </row>
    <row r="28">
      <c r="G28" s="9" t="n">
        <v>45318</v>
      </c>
      <c r="H28" t="n">
        <v>86</v>
      </c>
    </row>
    <row r="29">
      <c r="G29" s="9" t="n">
        <v>45319</v>
      </c>
      <c r="H29" t="n">
        <v>82.8</v>
      </c>
    </row>
    <row r="30">
      <c r="G30" s="9" t="n">
        <v>45320</v>
      </c>
      <c r="H30" t="n">
        <v>87.8</v>
      </c>
    </row>
    <row r="31">
      <c r="G31" s="9" t="n">
        <v>45321</v>
      </c>
      <c r="H31" t="n">
        <v>89.40000000000001</v>
      </c>
    </row>
    <row r="32">
      <c r="G32" s="9" t="n">
        <v>45322</v>
      </c>
      <c r="H32" t="n">
        <v>91</v>
      </c>
    </row>
    <row r="33">
      <c r="G33" s="9" t="n">
        <v>45323</v>
      </c>
      <c r="H33" t="n">
        <v>85.2</v>
      </c>
    </row>
    <row r="34">
      <c r="G34" s="9" t="n">
        <v>45324</v>
      </c>
      <c r="H34" t="n">
        <v>85.59999999999999</v>
      </c>
    </row>
    <row r="35">
      <c r="G35" s="9" t="n">
        <v>45325</v>
      </c>
      <c r="H35" t="n">
        <v>83.5</v>
      </c>
    </row>
    <row r="36">
      <c r="G36" s="9" t="n">
        <v>45326</v>
      </c>
      <c r="H36" t="n">
        <v>71.90000000000001</v>
      </c>
    </row>
    <row r="37">
      <c r="G37" s="9" t="n">
        <v>45327</v>
      </c>
      <c r="H37" t="n">
        <v>81.5</v>
      </c>
    </row>
    <row r="38">
      <c r="G38" s="9" t="n">
        <v>45328</v>
      </c>
      <c r="H38" t="n">
        <v>89.5</v>
      </c>
    </row>
    <row r="39">
      <c r="G39" s="9" t="n">
        <v>45329</v>
      </c>
      <c r="H39" t="n">
        <v>90.5</v>
      </c>
    </row>
    <row r="40">
      <c r="G40" s="9" t="n">
        <v>45330</v>
      </c>
      <c r="H40" t="n">
        <v>86</v>
      </c>
    </row>
    <row r="41">
      <c r="G41" s="9" t="n">
        <v>45331</v>
      </c>
      <c r="H41" t="n">
        <v>87.59999999999999</v>
      </c>
    </row>
    <row r="42">
      <c r="G42" s="9" t="n">
        <v>45332</v>
      </c>
      <c r="H42" t="n">
        <v>84.7</v>
      </c>
    </row>
    <row r="43">
      <c r="G43" s="9" t="n">
        <v>45333</v>
      </c>
      <c r="H43" t="n">
        <v>85.3</v>
      </c>
    </row>
    <row r="44">
      <c r="G44" s="9" t="n">
        <v>45334</v>
      </c>
      <c r="H44" t="n">
        <v>82.09999999999999</v>
      </c>
    </row>
    <row r="45">
      <c r="G45" s="9" t="n">
        <v>45335</v>
      </c>
      <c r="H45" t="n">
        <v>87.3</v>
      </c>
    </row>
    <row r="46">
      <c r="G46" s="9" t="n">
        <v>45336</v>
      </c>
      <c r="H46" t="n">
        <v>90.59999999999999</v>
      </c>
    </row>
    <row r="47">
      <c r="G47" s="9" t="n">
        <v>45337</v>
      </c>
      <c r="H47" t="n">
        <v>84.7</v>
      </c>
    </row>
    <row r="48">
      <c r="G48" s="9" t="n">
        <v>45338</v>
      </c>
      <c r="H48" t="n">
        <v>78.40000000000001</v>
      </c>
    </row>
    <row r="49">
      <c r="G49" s="9" t="n">
        <v>45339</v>
      </c>
      <c r="H49" t="n">
        <v>70.2</v>
      </c>
    </row>
    <row r="50">
      <c r="G50" s="9" t="n">
        <v>45340</v>
      </c>
      <c r="H50" t="n">
        <v>81.09999999999999</v>
      </c>
    </row>
    <row r="51">
      <c r="G51" s="9" t="n">
        <v>45341</v>
      </c>
      <c r="H51" t="n">
        <v>82.7</v>
      </c>
    </row>
    <row r="52">
      <c r="G52" s="9" t="n">
        <v>45342</v>
      </c>
      <c r="H52" t="n">
        <v>87.3</v>
      </c>
    </row>
    <row r="53">
      <c r="G53" s="9" t="n">
        <v>45343</v>
      </c>
      <c r="H53" t="n">
        <v>88.3</v>
      </c>
    </row>
    <row r="54">
      <c r="G54" s="9" t="n">
        <v>45344</v>
      </c>
      <c r="H54" t="n">
        <v>85.5</v>
      </c>
    </row>
    <row r="55">
      <c r="G55" s="9" t="n">
        <v>45345</v>
      </c>
      <c r="H55" t="n">
        <v>87.90000000000001</v>
      </c>
    </row>
    <row r="56">
      <c r="G56" s="9" t="n">
        <v>45346</v>
      </c>
      <c r="H56" t="n">
        <v>87.5</v>
      </c>
    </row>
    <row r="57">
      <c r="G57" s="9" t="n">
        <v>45347</v>
      </c>
      <c r="H57" t="n">
        <v>86.7</v>
      </c>
    </row>
    <row r="58">
      <c r="G58" s="9" t="n">
        <v>45348</v>
      </c>
      <c r="H58" t="n">
        <v>83.09999999999999</v>
      </c>
    </row>
    <row r="59">
      <c r="G59" s="9" t="n">
        <v>45349</v>
      </c>
      <c r="H59" t="n">
        <v>80.2</v>
      </c>
    </row>
    <row r="60">
      <c r="G60" s="9" t="n">
        <v>45350</v>
      </c>
      <c r="H60" t="n">
        <v>79.5</v>
      </c>
    </row>
    <row r="61">
      <c r="G61" s="9" t="n">
        <v>45351</v>
      </c>
      <c r="H61" t="n">
        <v>84.7</v>
      </c>
    </row>
    <row r="62">
      <c r="G62" s="9" t="n">
        <v>45352</v>
      </c>
      <c r="H62" t="n">
        <v>82.59999999999999</v>
      </c>
    </row>
    <row r="63">
      <c r="G63" s="9" t="n">
        <v>45353</v>
      </c>
      <c r="H63" t="n">
        <v>76.40000000000001</v>
      </c>
    </row>
    <row r="64">
      <c r="G64" s="9" t="n">
        <v>45354</v>
      </c>
      <c r="H64" t="n">
        <v>72.3</v>
      </c>
    </row>
    <row r="65">
      <c r="G65" s="9" t="n">
        <v>45355</v>
      </c>
      <c r="H65" t="n">
        <v>85.40000000000001</v>
      </c>
    </row>
    <row r="66">
      <c r="G66" s="9" t="n">
        <v>45356</v>
      </c>
      <c r="H66" t="n">
        <v>87.2</v>
      </c>
    </row>
    <row r="67">
      <c r="G67" s="9" t="n">
        <v>45357</v>
      </c>
      <c r="H67" t="n">
        <v>86.2</v>
      </c>
    </row>
    <row r="68">
      <c r="G68" s="9" t="n">
        <v>45358</v>
      </c>
      <c r="H68" t="n">
        <v>77.8</v>
      </c>
    </row>
    <row r="69">
      <c r="G69" s="9" t="n">
        <v>45359</v>
      </c>
      <c r="H69" t="n">
        <v>74.3</v>
      </c>
    </row>
    <row r="70">
      <c r="G70" s="9" t="n">
        <v>45360</v>
      </c>
      <c r="H70" t="n">
        <v>69.90000000000001</v>
      </c>
    </row>
    <row r="71">
      <c r="G71" s="9" t="n">
        <v>45361</v>
      </c>
      <c r="H71" t="n">
        <v>70.7</v>
      </c>
    </row>
    <row r="72">
      <c r="G72" s="9" t="n">
        <v>45362</v>
      </c>
      <c r="H72" t="n">
        <v>80.90000000000001</v>
      </c>
    </row>
    <row r="73">
      <c r="G73" s="9" t="n">
        <v>45363</v>
      </c>
      <c r="H73" t="n">
        <v>90.09999999999999</v>
      </c>
    </row>
    <row r="74">
      <c r="G74" s="9" t="n">
        <v>45364</v>
      </c>
      <c r="H74" t="n">
        <v>87</v>
      </c>
    </row>
    <row r="75">
      <c r="G75" s="9" t="n">
        <v>45365</v>
      </c>
      <c r="H75" t="n">
        <v>73.90000000000001</v>
      </c>
    </row>
    <row r="76">
      <c r="G76" s="9" t="n">
        <v>45366</v>
      </c>
      <c r="H76" t="n">
        <v>69.59999999999999</v>
      </c>
    </row>
    <row r="77">
      <c r="G77" s="9" t="n">
        <v>45367</v>
      </c>
      <c r="H77" t="n">
        <v>76.8</v>
      </c>
    </row>
    <row r="78">
      <c r="G78" s="9" t="n">
        <v>45368</v>
      </c>
      <c r="H78" t="n">
        <v>76.90000000000001</v>
      </c>
    </row>
    <row r="79">
      <c r="G79" s="9" t="n">
        <v>45369</v>
      </c>
      <c r="H79" t="n">
        <v>78.40000000000001</v>
      </c>
    </row>
    <row r="80">
      <c r="G80" s="9" t="n">
        <v>45370</v>
      </c>
      <c r="H80" t="n">
        <v>89.59999999999999</v>
      </c>
    </row>
    <row r="81">
      <c r="G81" s="9" t="n">
        <v>45371</v>
      </c>
      <c r="H81" t="n">
        <v>86.7</v>
      </c>
    </row>
    <row r="82">
      <c r="G82" s="9" t="n">
        <v>45372</v>
      </c>
      <c r="H82" t="n">
        <v>82.5</v>
      </c>
    </row>
    <row r="83">
      <c r="G83" s="9" t="n">
        <v>45373</v>
      </c>
      <c r="H83" t="n">
        <v>74.3</v>
      </c>
    </row>
    <row r="84">
      <c r="G84" s="9" t="n">
        <v>45374</v>
      </c>
      <c r="H84" t="n">
        <v>70.3</v>
      </c>
    </row>
    <row r="85">
      <c r="G85" s="9" t="n">
        <v>45375</v>
      </c>
      <c r="H85" t="n">
        <v>74.90000000000001</v>
      </c>
    </row>
    <row r="86">
      <c r="G86" s="9" t="n">
        <v>45376</v>
      </c>
      <c r="H86" t="n">
        <v>79.40000000000001</v>
      </c>
    </row>
    <row r="87">
      <c r="G87" s="9" t="n">
        <v>45377</v>
      </c>
      <c r="H87" t="n">
        <v>82.09999999999999</v>
      </c>
    </row>
    <row r="88">
      <c r="G88" s="9" t="n">
        <v>45378</v>
      </c>
      <c r="H88" t="n">
        <v>74.2</v>
      </c>
    </row>
    <row r="89">
      <c r="G89" s="9" t="n">
        <v>45379</v>
      </c>
      <c r="H89" t="n">
        <v>73.3</v>
      </c>
    </row>
    <row r="90">
      <c r="G90" s="9" t="n">
        <v>45380</v>
      </c>
      <c r="H90" t="n">
        <v>82.59999999999999</v>
      </c>
    </row>
    <row r="91">
      <c r="G91" s="9" t="n">
        <v>45381</v>
      </c>
      <c r="H91" t="n">
        <v>83.8</v>
      </c>
    </row>
    <row r="92">
      <c r="G92" s="9" t="n">
        <v>45382</v>
      </c>
      <c r="H92" t="n">
        <v>83.8</v>
      </c>
    </row>
    <row r="93">
      <c r="G93" s="9" t="n">
        <v>45383</v>
      </c>
      <c r="H93" t="n">
        <v>79.5</v>
      </c>
    </row>
    <row r="94">
      <c r="G94" s="9" t="n">
        <v>45384</v>
      </c>
      <c r="H94" t="n">
        <v>81.3</v>
      </c>
    </row>
    <row r="95">
      <c r="G95" s="9" t="n">
        <v>45385</v>
      </c>
      <c r="H95" t="n">
        <v>69.7</v>
      </c>
    </row>
    <row r="96">
      <c r="G96" s="9" t="n">
        <v>45386</v>
      </c>
      <c r="H96" t="n">
        <v>74.2</v>
      </c>
    </row>
    <row r="97">
      <c r="G97" s="9" t="n">
        <v>45387</v>
      </c>
      <c r="H97" t="n">
        <v>81.40000000000001</v>
      </c>
    </row>
    <row r="98">
      <c r="G98" s="9" t="n">
        <v>45388</v>
      </c>
      <c r="H98" t="n">
        <v>85.40000000000001</v>
      </c>
    </row>
    <row r="99">
      <c r="G99" s="9" t="n">
        <v>45389</v>
      </c>
      <c r="H99" t="n">
        <v>85.5</v>
      </c>
    </row>
    <row r="100">
      <c r="G100" s="9" t="n">
        <v>45390</v>
      </c>
      <c r="H100" t="n">
        <v>84.3</v>
      </c>
    </row>
    <row r="101">
      <c r="G101" s="9" t="n">
        <v>45391</v>
      </c>
      <c r="H101" t="n">
        <v>80.8</v>
      </c>
    </row>
    <row r="102">
      <c r="G102" s="9" t="n">
        <v>45392</v>
      </c>
      <c r="H102" t="n">
        <v>78</v>
      </c>
    </row>
    <row r="103">
      <c r="G103" s="9" t="n">
        <v>45393</v>
      </c>
      <c r="H103" t="n">
        <v>68.3</v>
      </c>
    </row>
    <row r="104">
      <c r="G104" s="9" t="n">
        <v>45394</v>
      </c>
      <c r="H104" t="n">
        <v>73.5</v>
      </c>
    </row>
    <row r="105">
      <c r="G105" s="9" t="n">
        <v>45395</v>
      </c>
      <c r="H105" t="n">
        <v>84.09999999999999</v>
      </c>
    </row>
    <row r="106">
      <c r="G106" s="9" t="n">
        <v>45396</v>
      </c>
      <c r="H106" t="n">
        <v>83.3</v>
      </c>
    </row>
    <row r="107">
      <c r="G107" s="9" t="n">
        <v>45397</v>
      </c>
      <c r="H107" t="n">
        <v>83.59999999999999</v>
      </c>
    </row>
    <row r="108">
      <c r="G108" s="9" t="n">
        <v>45398</v>
      </c>
      <c r="H108" t="n">
        <v>84.59999999999999</v>
      </c>
    </row>
    <row r="109">
      <c r="G109" s="9" t="n">
        <v>45399</v>
      </c>
      <c r="H109" t="n">
        <v>83</v>
      </c>
    </row>
    <row r="110">
      <c r="G110" s="9" t="n">
        <v>45400</v>
      </c>
      <c r="H110" t="n">
        <v>78.90000000000001</v>
      </c>
    </row>
    <row r="111">
      <c r="G111" s="9" t="n">
        <v>45401</v>
      </c>
      <c r="H111" t="n">
        <v>83.2</v>
      </c>
    </row>
    <row r="112">
      <c r="G112" s="9" t="n">
        <v>45402</v>
      </c>
      <c r="H112" t="n">
        <v>73.3</v>
      </c>
    </row>
    <row r="113">
      <c r="G113" s="9" t="n">
        <v>45403</v>
      </c>
      <c r="H113" t="n">
        <v>78.8</v>
      </c>
    </row>
    <row r="114">
      <c r="G114" s="9" t="n">
        <v>45404</v>
      </c>
      <c r="H114" t="n">
        <v>85.09999999999999</v>
      </c>
    </row>
    <row r="115">
      <c r="G115" s="9" t="n">
        <v>45405</v>
      </c>
      <c r="H115" t="n">
        <v>89.5</v>
      </c>
    </row>
    <row r="116">
      <c r="G116" s="9" t="n">
        <v>45406</v>
      </c>
      <c r="H116" t="n">
        <v>89</v>
      </c>
    </row>
    <row r="117">
      <c r="G117" s="9" t="n">
        <v>45407</v>
      </c>
      <c r="H117" t="n">
        <v>83.09999999999999</v>
      </c>
    </row>
    <row r="118">
      <c r="G118" s="9" t="n">
        <v>45408</v>
      </c>
      <c r="H118" t="n">
        <v>74.7</v>
      </c>
    </row>
    <row r="119">
      <c r="G119" s="9" t="n">
        <v>45409</v>
      </c>
      <c r="H119" t="n">
        <v>83.2</v>
      </c>
    </row>
    <row r="120">
      <c r="G120" s="9" t="n">
        <v>45410</v>
      </c>
      <c r="H120" t="n">
        <v>76.40000000000001</v>
      </c>
    </row>
    <row r="121">
      <c r="G121" s="9" t="n">
        <v>45411</v>
      </c>
      <c r="H121" t="n">
        <v>85</v>
      </c>
    </row>
    <row r="122">
      <c r="G122" s="9" t="n">
        <v>45412</v>
      </c>
      <c r="H122" t="n">
        <v>87.90000000000001</v>
      </c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1" customWidth="1" min="4" max="4"/>
    <col width="20" customWidth="1" min="5" max="5"/>
    <col width="21" customWidth="1" min="6" max="6"/>
    <col width="19" customWidth="1" min="7" max="7"/>
    <col width="15" customWidth="1" min="8" max="8"/>
    <col width="18" customWidth="1" min="9" max="9"/>
    <col width="25" customWidth="1" min="10" max="10"/>
    <col width="25" customWidth="1" min="11" max="11"/>
  </cols>
  <sheetData>
    <row r="1">
      <c r="A1" s="8" t="inlineStr">
        <is>
          <t>carrier_name</t>
        </is>
      </c>
      <c r="B1" s="8" t="inlineStr">
        <is>
          <t>carrier_code</t>
        </is>
      </c>
      <c r="C1" s="8" t="inlineStr">
        <is>
          <t>scheduled_flights</t>
        </is>
      </c>
      <c r="D1" s="8" t="inlineStr">
        <is>
          <t>cancelled_flights</t>
        </is>
      </c>
      <c r="E1" s="8" t="inlineStr">
        <is>
          <t>diverted_flights</t>
        </is>
      </c>
      <c r="F1" s="8" t="inlineStr">
        <is>
          <t>completed_flights</t>
        </is>
      </c>
      <c r="G1" s="8" t="inlineStr">
        <is>
          <t>delayed_flights</t>
        </is>
      </c>
      <c r="H1" s="8" t="inlineStr">
        <is>
          <t>on_time_pct</t>
        </is>
      </c>
      <c r="I1" s="8" t="inlineStr">
        <is>
          <t>delay_rate_pct</t>
        </is>
      </c>
      <c r="J1" s="8" t="inlineStr">
        <is>
          <t>cancellation_rate_pct</t>
        </is>
      </c>
      <c r="K1" s="8" t="inlineStr">
        <is>
          <t>avg_arr_delay_minutes</t>
        </is>
      </c>
    </row>
    <row r="2">
      <c r="A2" t="inlineStr">
        <is>
          <t>Republic Airways</t>
        </is>
      </c>
      <c r="B2" t="inlineStr">
        <is>
          <t>YX</t>
        </is>
      </c>
      <c r="C2" t="n">
        <v>92727</v>
      </c>
      <c r="D2" t="n">
        <v>1645</v>
      </c>
      <c r="E2" t="n">
        <v>158</v>
      </c>
      <c r="F2" t="n">
        <v>90924</v>
      </c>
      <c r="G2" t="n">
        <v>10351</v>
      </c>
      <c r="H2" t="n">
        <v>88.59999999999999</v>
      </c>
      <c r="I2" t="n">
        <v>11.4</v>
      </c>
      <c r="J2" t="n">
        <v>1.77</v>
      </c>
      <c r="K2" t="n">
        <v>-5.76</v>
      </c>
    </row>
    <row r="3">
      <c r="A3" t="inlineStr">
        <is>
          <t>Endeavor Air</t>
        </is>
      </c>
      <c r="B3" t="inlineStr">
        <is>
          <t>9E</t>
        </is>
      </c>
      <c r="C3" t="n">
        <v>66654</v>
      </c>
      <c r="D3" t="n">
        <v>1111</v>
      </c>
      <c r="E3" t="n">
        <v>126</v>
      </c>
      <c r="F3" t="n">
        <v>65417</v>
      </c>
      <c r="G3" t="n">
        <v>9534</v>
      </c>
      <c r="H3" t="n">
        <v>85.40000000000001</v>
      </c>
      <c r="I3" t="n">
        <v>14.6</v>
      </c>
      <c r="J3" t="n">
        <v>1.67</v>
      </c>
      <c r="K3" t="n">
        <v>-0.47</v>
      </c>
    </row>
    <row r="4">
      <c r="A4" t="inlineStr">
        <is>
          <t>Delta Air Lines</t>
        </is>
      </c>
      <c r="B4" t="inlineStr">
        <is>
          <t>DL</t>
        </is>
      </c>
      <c r="C4" t="n">
        <v>311082</v>
      </c>
      <c r="D4" t="n">
        <v>803</v>
      </c>
      <c r="E4" t="n">
        <v>541</v>
      </c>
      <c r="F4" t="n">
        <v>309738</v>
      </c>
      <c r="G4" t="n">
        <v>48356</v>
      </c>
      <c r="H4" t="n">
        <v>84.40000000000001</v>
      </c>
      <c r="I4" t="n">
        <v>15.6</v>
      </c>
      <c r="J4" t="n">
        <v>0.26</v>
      </c>
      <c r="K4" t="n">
        <v>1.25</v>
      </c>
    </row>
    <row r="5">
      <c r="A5" t="inlineStr">
        <is>
          <t>Hawaiian Airlines</t>
        </is>
      </c>
      <c r="B5" t="inlineStr">
        <is>
          <t>HA</t>
        </is>
      </c>
      <c r="C5" t="n">
        <v>25473</v>
      </c>
      <c r="D5" t="n">
        <v>282</v>
      </c>
      <c r="E5" t="n">
        <v>25</v>
      </c>
      <c r="F5" t="n">
        <v>25166</v>
      </c>
      <c r="G5" t="n">
        <v>4591</v>
      </c>
      <c r="H5" t="n">
        <v>81.8</v>
      </c>
      <c r="I5" t="n">
        <v>18.2</v>
      </c>
      <c r="J5" t="n">
        <v>1.11</v>
      </c>
      <c r="K5" t="n">
        <v>6.19</v>
      </c>
    </row>
    <row r="6">
      <c r="A6" t="inlineStr">
        <is>
          <t>SkyWest Airlines</t>
        </is>
      </c>
      <c r="B6" t="inlineStr">
        <is>
          <t>OO</t>
        </is>
      </c>
      <c r="C6" t="n">
        <v>226049</v>
      </c>
      <c r="D6" t="n">
        <v>4264</v>
      </c>
      <c r="E6" t="n">
        <v>816</v>
      </c>
      <c r="F6" t="n">
        <v>220969</v>
      </c>
      <c r="G6" t="n">
        <v>40616</v>
      </c>
      <c r="H6" t="n">
        <v>81.59999999999999</v>
      </c>
      <c r="I6" t="n">
        <v>18.4</v>
      </c>
      <c r="J6" t="n">
        <v>1.89</v>
      </c>
      <c r="K6" t="n">
        <v>6.62</v>
      </c>
    </row>
    <row r="7">
      <c r="A7" t="inlineStr">
        <is>
          <t>United Airlines</t>
        </is>
      </c>
      <c r="B7" t="inlineStr">
        <is>
          <t>UA</t>
        </is>
      </c>
      <c r="C7" t="n">
        <v>241662</v>
      </c>
      <c r="D7" t="n">
        <v>5727</v>
      </c>
      <c r="E7" t="n">
        <v>551</v>
      </c>
      <c r="F7" t="n">
        <v>235384</v>
      </c>
      <c r="G7" t="n">
        <v>44419</v>
      </c>
      <c r="H7" t="n">
        <v>81.09999999999999</v>
      </c>
      <c r="I7" t="n">
        <v>18.9</v>
      </c>
      <c r="J7" t="n">
        <v>2.37</v>
      </c>
      <c r="K7" t="n">
        <v>3.97</v>
      </c>
    </row>
    <row r="8">
      <c r="A8" t="inlineStr">
        <is>
          <t>PSA Airlines</t>
        </is>
      </c>
      <c r="B8" t="inlineStr">
        <is>
          <t>OH</t>
        </is>
      </c>
      <c r="C8" t="n">
        <v>68156</v>
      </c>
      <c r="D8" t="n">
        <v>1170</v>
      </c>
      <c r="E8" t="n">
        <v>138</v>
      </c>
      <c r="F8" t="n">
        <v>66848</v>
      </c>
      <c r="G8" t="n">
        <v>12914</v>
      </c>
      <c r="H8" t="n">
        <v>80.7</v>
      </c>
      <c r="I8" t="n">
        <v>19.3</v>
      </c>
      <c r="J8" t="n">
        <v>1.72</v>
      </c>
      <c r="K8" t="n">
        <v>6.39</v>
      </c>
    </row>
    <row r="9">
      <c r="A9" t="inlineStr">
        <is>
          <t>Allegiant Air</t>
        </is>
      </c>
      <c r="B9" t="inlineStr">
        <is>
          <t>G4</t>
        </is>
      </c>
      <c r="C9" t="n">
        <v>37384</v>
      </c>
      <c r="D9" t="n">
        <v>319</v>
      </c>
      <c r="E9" t="n">
        <v>83</v>
      </c>
      <c r="F9" t="n">
        <v>36982</v>
      </c>
      <c r="G9" t="n">
        <v>7199</v>
      </c>
      <c r="H9" t="n">
        <v>80.5</v>
      </c>
      <c r="I9" t="n">
        <v>19.5</v>
      </c>
      <c r="J9" t="n">
        <v>0.85</v>
      </c>
      <c r="K9" t="n">
        <v>6.83</v>
      </c>
    </row>
    <row r="10">
      <c r="A10" t="inlineStr">
        <is>
          <t>Envoy Air</t>
        </is>
      </c>
      <c r="B10" t="inlineStr">
        <is>
          <t>MQ</t>
        </is>
      </c>
      <c r="C10" t="n">
        <v>86740</v>
      </c>
      <c r="D10" t="n">
        <v>1615</v>
      </c>
      <c r="E10" t="n">
        <v>202</v>
      </c>
      <c r="F10" t="n">
        <v>84923</v>
      </c>
      <c r="G10" t="n">
        <v>16688</v>
      </c>
      <c r="H10" t="n">
        <v>80.40000000000001</v>
      </c>
      <c r="I10" t="n">
        <v>19.7</v>
      </c>
      <c r="J10" t="n">
        <v>1.86</v>
      </c>
      <c r="K10" t="n">
        <v>5.3</v>
      </c>
    </row>
    <row r="11">
      <c r="A11" t="inlineStr">
        <is>
          <t>Southwest Airlines</t>
        </is>
      </c>
      <c r="B11" t="inlineStr">
        <is>
          <t>WN</t>
        </is>
      </c>
      <c r="C11" t="n">
        <v>466447</v>
      </c>
      <c r="D11" t="n">
        <v>5684</v>
      </c>
      <c r="E11" t="n">
        <v>739</v>
      </c>
      <c r="F11" t="n">
        <v>460024</v>
      </c>
      <c r="G11" t="n">
        <v>95164</v>
      </c>
      <c r="H11" t="n">
        <v>79.3</v>
      </c>
      <c r="I11" t="n">
        <v>20.7</v>
      </c>
      <c r="J11" t="n">
        <v>1.22</v>
      </c>
      <c r="K11" t="n">
        <v>4.77</v>
      </c>
    </row>
    <row r="12">
      <c r="A12" t="inlineStr">
        <is>
          <t>Alaska Airlines</t>
        </is>
      </c>
      <c r="B12" t="inlineStr">
        <is>
          <t>AS</t>
        </is>
      </c>
      <c r="C12" t="n">
        <v>73707</v>
      </c>
      <c r="D12" t="n">
        <v>3507</v>
      </c>
      <c r="E12" t="n">
        <v>304</v>
      </c>
      <c r="F12" t="n">
        <v>69896</v>
      </c>
      <c r="G12" t="n">
        <v>15110</v>
      </c>
      <c r="H12" t="n">
        <v>78.40000000000001</v>
      </c>
      <c r="I12" t="n">
        <v>21.6</v>
      </c>
      <c r="J12" t="n">
        <v>4.76</v>
      </c>
      <c r="K12" t="n">
        <v>4.01</v>
      </c>
    </row>
    <row r="13">
      <c r="A13" t="inlineStr">
        <is>
          <t>Spirit Airlines</t>
        </is>
      </c>
      <c r="B13" t="inlineStr">
        <is>
          <t>NK</t>
        </is>
      </c>
      <c r="C13" t="n">
        <v>85227</v>
      </c>
      <c r="D13" t="n">
        <v>1074</v>
      </c>
      <c r="E13" t="n">
        <v>125</v>
      </c>
      <c r="F13" t="n">
        <v>84028</v>
      </c>
      <c r="G13" t="n">
        <v>19884</v>
      </c>
      <c r="H13" t="n">
        <v>76.3</v>
      </c>
      <c r="I13" t="n">
        <v>23.7</v>
      </c>
      <c r="J13" t="n">
        <v>1.26</v>
      </c>
      <c r="K13" t="n">
        <v>7.39</v>
      </c>
    </row>
    <row r="14">
      <c r="A14" t="inlineStr">
        <is>
          <t>American Airlines</t>
        </is>
      </c>
      <c r="B14" t="inlineStr">
        <is>
          <t>AA</t>
        </is>
      </c>
      <c r="C14" t="n">
        <v>315691</v>
      </c>
      <c r="D14" t="n">
        <v>3052</v>
      </c>
      <c r="E14" t="n">
        <v>786</v>
      </c>
      <c r="F14" t="n">
        <v>311853</v>
      </c>
      <c r="G14" t="n">
        <v>77614</v>
      </c>
      <c r="H14" t="n">
        <v>75.09999999999999</v>
      </c>
      <c r="I14" t="n">
        <v>24.9</v>
      </c>
      <c r="J14" t="n">
        <v>0.97</v>
      </c>
      <c r="K14" t="n">
        <v>13.41</v>
      </c>
    </row>
    <row r="15">
      <c r="A15" t="inlineStr">
        <is>
          <t>JetBlue Airways</t>
        </is>
      </c>
      <c r="B15" t="inlineStr">
        <is>
          <t>B6</t>
        </is>
      </c>
      <c r="C15" t="n">
        <v>80504</v>
      </c>
      <c r="D15" t="n">
        <v>1198</v>
      </c>
      <c r="E15" t="n">
        <v>259</v>
      </c>
      <c r="F15" t="n">
        <v>79047</v>
      </c>
      <c r="G15" t="n">
        <v>21050</v>
      </c>
      <c r="H15" t="n">
        <v>73.40000000000001</v>
      </c>
      <c r="I15" t="n">
        <v>26.6</v>
      </c>
      <c r="J15" t="n">
        <v>1.49</v>
      </c>
      <c r="K15" t="n">
        <v>11.59</v>
      </c>
    </row>
    <row r="16">
      <c r="A16" t="inlineStr">
        <is>
          <t>Frontier Airlines</t>
        </is>
      </c>
      <c r="B16" t="inlineStr">
        <is>
          <t>F9</t>
        </is>
      </c>
      <c r="C16" t="n">
        <v>62941</v>
      </c>
      <c r="D16" t="n">
        <v>1095</v>
      </c>
      <c r="E16" t="n">
        <v>78</v>
      </c>
      <c r="F16" t="n">
        <v>61768</v>
      </c>
      <c r="G16" t="n">
        <v>16936</v>
      </c>
      <c r="H16" t="n">
        <v>72.59999999999999</v>
      </c>
      <c r="I16" t="n">
        <v>27.4</v>
      </c>
      <c r="J16" t="n">
        <v>1.74</v>
      </c>
      <c r="K16" t="n">
        <v>15.17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4" customWidth="1" min="4" max="4"/>
    <col width="12" customWidth="1" min="5" max="5"/>
    <col width="13" customWidth="1" min="6" max="6"/>
    <col width="21" customWidth="1" min="7" max="7"/>
    <col width="21" customWidth="1" min="8" max="8"/>
    <col width="20" customWidth="1" min="9" max="9"/>
    <col width="21" customWidth="1" min="10" max="10"/>
    <col width="19" customWidth="1" min="11" max="11"/>
    <col width="15" customWidth="1" min="12" max="12"/>
    <col width="18" customWidth="1" min="13" max="13"/>
    <col width="25" customWidth="1" min="14" max="14"/>
    <col width="25" customWidth="1" min="15" max="15"/>
  </cols>
  <sheetData>
    <row r="1">
      <c r="A1" s="8" t="inlineStr">
        <is>
          <t>airport_code</t>
        </is>
      </c>
      <c r="B1" s="8" t="inlineStr">
        <is>
          <t>airport_name</t>
        </is>
      </c>
      <c r="C1" s="8" t="inlineStr">
        <is>
          <t>city_name</t>
        </is>
      </c>
      <c r="D1" s="8" t="inlineStr">
        <is>
          <t>state_code</t>
        </is>
      </c>
      <c r="E1" s="8" t="inlineStr">
        <is>
          <t>latitude</t>
        </is>
      </c>
      <c r="F1" s="8" t="inlineStr">
        <is>
          <t>longitude</t>
        </is>
      </c>
      <c r="G1" s="8" t="inlineStr">
        <is>
          <t>scheduled_flights</t>
        </is>
      </c>
      <c r="H1" s="8" t="inlineStr">
        <is>
          <t>cancelled_flights</t>
        </is>
      </c>
      <c r="I1" s="8" t="inlineStr">
        <is>
          <t>diverted_flights</t>
        </is>
      </c>
      <c r="J1" s="8" t="inlineStr">
        <is>
          <t>completed_flights</t>
        </is>
      </c>
      <c r="K1" s="8" t="inlineStr">
        <is>
          <t>delayed_flights</t>
        </is>
      </c>
      <c r="L1" s="8" t="inlineStr">
        <is>
          <t>on_time_pct</t>
        </is>
      </c>
      <c r="M1" s="8" t="inlineStr">
        <is>
          <t>delay_rate_pct</t>
        </is>
      </c>
      <c r="N1" s="8" t="inlineStr">
        <is>
          <t>cancellation_rate_pct</t>
        </is>
      </c>
      <c r="O1" s="8" t="inlineStr">
        <is>
          <t>avg_arr_delay_minutes</t>
        </is>
      </c>
    </row>
    <row r="2">
      <c r="A2" t="inlineStr">
        <is>
          <t>ATL</t>
        </is>
      </c>
      <c r="B2" t="inlineStr">
        <is>
          <t>Hartsfield Jackson Atlanta International Airport</t>
        </is>
      </c>
      <c r="C2" t="inlineStr">
        <is>
          <t>Atlanta, GA</t>
        </is>
      </c>
      <c r="D2" t="inlineStr">
        <is>
          <t>GA</t>
        </is>
      </c>
      <c r="E2" t="n">
        <v>33.6367</v>
      </c>
      <c r="F2" t="n">
        <v>-84.428101</v>
      </c>
      <c r="G2" t="n">
        <v>108014</v>
      </c>
      <c r="H2" t="n">
        <v>427</v>
      </c>
      <c r="I2" t="n">
        <v>238</v>
      </c>
      <c r="J2" t="n">
        <v>107349</v>
      </c>
      <c r="K2" t="n">
        <v>19013</v>
      </c>
      <c r="L2" t="n">
        <v>82.3</v>
      </c>
      <c r="M2" t="n">
        <v>17.7</v>
      </c>
      <c r="N2" t="n">
        <v>0.4</v>
      </c>
      <c r="O2" t="n">
        <v>4.38</v>
      </c>
    </row>
    <row r="3">
      <c r="A3" t="inlineStr">
        <is>
          <t>DFW</t>
        </is>
      </c>
      <c r="B3" t="inlineStr">
        <is>
          <t>Dallas Fort Worth International Airport</t>
        </is>
      </c>
      <c r="C3" t="inlineStr">
        <is>
          <t>Dallas/Fort Worth, TX</t>
        </is>
      </c>
      <c r="D3" t="inlineStr">
        <is>
          <t>TX</t>
        </is>
      </c>
      <c r="E3" t="n">
        <v>32.896801</v>
      </c>
      <c r="F3" t="n">
        <v>-97.03800200000001</v>
      </c>
      <c r="G3" t="n">
        <v>96727</v>
      </c>
      <c r="H3" t="n">
        <v>1676</v>
      </c>
      <c r="I3" t="n">
        <v>280</v>
      </c>
      <c r="J3" t="n">
        <v>94771</v>
      </c>
      <c r="K3" t="n">
        <v>24570</v>
      </c>
      <c r="L3" t="n">
        <v>74.09999999999999</v>
      </c>
      <c r="M3" t="n">
        <v>25.9</v>
      </c>
      <c r="N3" t="n">
        <v>1.73</v>
      </c>
      <c r="O3" t="n">
        <v>12.47</v>
      </c>
    </row>
    <row r="4">
      <c r="A4" t="inlineStr">
        <is>
          <t>DEN</t>
        </is>
      </c>
      <c r="B4" t="inlineStr">
        <is>
          <t>Denver International Airport</t>
        </is>
      </c>
      <c r="C4" t="inlineStr">
        <is>
          <t>Denver, CO</t>
        </is>
      </c>
      <c r="D4" t="inlineStr">
        <is>
          <t>CO</t>
        </is>
      </c>
      <c r="E4" t="n">
        <v>39.860027</v>
      </c>
      <c r="F4" t="n">
        <v>-104.673792</v>
      </c>
      <c r="G4" t="n">
        <v>94753</v>
      </c>
      <c r="H4" t="n">
        <v>1815</v>
      </c>
      <c r="I4" t="n">
        <v>222</v>
      </c>
      <c r="J4" t="n">
        <v>92716</v>
      </c>
      <c r="K4" t="n">
        <v>22162</v>
      </c>
      <c r="L4" t="n">
        <v>76.09999999999999</v>
      </c>
      <c r="M4" t="n">
        <v>23.9</v>
      </c>
      <c r="N4" t="n">
        <v>1.92</v>
      </c>
      <c r="O4" t="n">
        <v>7.99</v>
      </c>
    </row>
    <row r="5">
      <c r="A5" t="inlineStr">
        <is>
          <t>ORD</t>
        </is>
      </c>
      <c r="B5" t="inlineStr">
        <is>
          <t>Chicago O'Hare International Airport</t>
        </is>
      </c>
      <c r="C5" t="inlineStr">
        <is>
          <t>Chicago, IL</t>
        </is>
      </c>
      <c r="D5" t="inlineStr">
        <is>
          <t>IL</t>
        </is>
      </c>
      <c r="E5" t="n">
        <v>41.9786</v>
      </c>
      <c r="F5" t="n">
        <v>-87.90479999999999</v>
      </c>
      <c r="G5" t="n">
        <v>85808</v>
      </c>
      <c r="H5" t="n">
        <v>1658</v>
      </c>
      <c r="I5" t="n">
        <v>233</v>
      </c>
      <c r="J5" t="n">
        <v>83917</v>
      </c>
      <c r="K5" t="n">
        <v>17493</v>
      </c>
      <c r="L5" t="n">
        <v>79.2</v>
      </c>
      <c r="M5" t="n">
        <v>20.9</v>
      </c>
      <c r="N5" t="n">
        <v>1.93</v>
      </c>
      <c r="O5" t="n">
        <v>5.97</v>
      </c>
    </row>
    <row r="6">
      <c r="A6" t="inlineStr">
        <is>
          <t>CLT</t>
        </is>
      </c>
      <c r="B6" t="inlineStr">
        <is>
          <t>Charlotte Douglas International Airport</t>
        </is>
      </c>
      <c r="C6" t="inlineStr">
        <is>
          <t>Charlotte, NC</t>
        </is>
      </c>
      <c r="D6" t="inlineStr">
        <is>
          <t>NC</t>
        </is>
      </c>
      <c r="E6" t="n">
        <v>35.2140007019043</v>
      </c>
      <c r="F6" t="n">
        <v>-80.94309997558594</v>
      </c>
      <c r="G6" t="n">
        <v>67690</v>
      </c>
      <c r="H6" t="n">
        <v>476</v>
      </c>
      <c r="I6" t="n">
        <v>144</v>
      </c>
      <c r="J6" t="n">
        <v>67070</v>
      </c>
      <c r="K6" t="n">
        <v>15992</v>
      </c>
      <c r="L6" t="n">
        <v>76.2</v>
      </c>
      <c r="M6" t="n">
        <v>23.8</v>
      </c>
      <c r="N6" t="n">
        <v>0.7</v>
      </c>
      <c r="O6" t="n">
        <v>9.44</v>
      </c>
    </row>
    <row r="7">
      <c r="A7" t="inlineStr">
        <is>
          <t>PHX</t>
        </is>
      </c>
      <c r="B7" t="inlineStr">
        <is>
          <t>Phoenix Sky Harbor International Airport</t>
        </is>
      </c>
      <c r="C7" t="inlineStr">
        <is>
          <t>Phoenix, AZ</t>
        </is>
      </c>
      <c r="D7" t="inlineStr">
        <is>
          <t>AZ</t>
        </is>
      </c>
      <c r="E7" t="n">
        <v>33.435302</v>
      </c>
      <c r="F7" t="n">
        <v>-112.005905</v>
      </c>
      <c r="G7" t="n">
        <v>64107</v>
      </c>
      <c r="H7" t="n">
        <v>466</v>
      </c>
      <c r="I7" t="n">
        <v>144</v>
      </c>
      <c r="J7" t="n">
        <v>63497</v>
      </c>
      <c r="K7" t="n">
        <v>11925</v>
      </c>
      <c r="L7" t="n">
        <v>81.2</v>
      </c>
      <c r="M7" t="n">
        <v>18.8</v>
      </c>
      <c r="N7" t="n">
        <v>0.73</v>
      </c>
      <c r="O7" t="n">
        <v>4.81</v>
      </c>
    </row>
    <row r="8">
      <c r="A8" t="inlineStr">
        <is>
          <t>LAX</t>
        </is>
      </c>
      <c r="B8" t="inlineStr">
        <is>
          <t>Los Angeles International Airport</t>
        </is>
      </c>
      <c r="C8" t="inlineStr">
        <is>
          <t>Los Angeles, CA</t>
        </is>
      </c>
      <c r="D8" t="inlineStr">
        <is>
          <t>CA</t>
        </is>
      </c>
      <c r="E8" t="n">
        <v>33.942501</v>
      </c>
      <c r="F8" t="n">
        <v>-118.407997</v>
      </c>
      <c r="G8" t="n">
        <v>61016</v>
      </c>
      <c r="H8" t="n">
        <v>650</v>
      </c>
      <c r="I8" t="n">
        <v>185</v>
      </c>
      <c r="J8" t="n">
        <v>60181</v>
      </c>
      <c r="K8" t="n">
        <v>11953</v>
      </c>
      <c r="L8" t="n">
        <v>80.09999999999999</v>
      </c>
      <c r="M8" t="n">
        <v>19.9</v>
      </c>
      <c r="N8" t="n">
        <v>1.07</v>
      </c>
      <c r="O8" t="n">
        <v>5.46</v>
      </c>
    </row>
    <row r="9">
      <c r="A9" t="inlineStr">
        <is>
          <t>LAS</t>
        </is>
      </c>
      <c r="B9" t="inlineStr">
        <is>
          <t>Harry Reid International Airport</t>
        </is>
      </c>
      <c r="C9" t="inlineStr">
        <is>
          <t>Las Vegas, NV</t>
        </is>
      </c>
      <c r="D9" t="inlineStr">
        <is>
          <t>NV</t>
        </is>
      </c>
      <c r="E9" t="n">
        <v>36.083361</v>
      </c>
      <c r="F9" t="n">
        <v>-115.151817</v>
      </c>
      <c r="G9" t="n">
        <v>60653</v>
      </c>
      <c r="H9" t="n">
        <v>682</v>
      </c>
      <c r="I9" t="n">
        <v>126</v>
      </c>
      <c r="J9" t="n">
        <v>59845</v>
      </c>
      <c r="K9" t="n">
        <v>13274</v>
      </c>
      <c r="L9" t="n">
        <v>77.8</v>
      </c>
      <c r="M9" t="n">
        <v>22.2</v>
      </c>
      <c r="N9" t="n">
        <v>1.12</v>
      </c>
      <c r="O9" t="n">
        <v>6.54</v>
      </c>
    </row>
    <row r="10">
      <c r="A10" t="inlineStr">
        <is>
          <t>MCO</t>
        </is>
      </c>
      <c r="B10" t="inlineStr">
        <is>
          <t>Orlando International Airport</t>
        </is>
      </c>
      <c r="C10" t="inlineStr">
        <is>
          <t>Orlando, FL</t>
        </is>
      </c>
      <c r="D10" t="inlineStr">
        <is>
          <t>FL</t>
        </is>
      </c>
      <c r="E10" t="n">
        <v>28.42939949035645</v>
      </c>
      <c r="F10" t="n">
        <v>-81.30899810791016</v>
      </c>
      <c r="G10" t="n">
        <v>57701</v>
      </c>
      <c r="H10" t="n">
        <v>860</v>
      </c>
      <c r="I10" t="n">
        <v>112</v>
      </c>
      <c r="J10" t="n">
        <v>56729</v>
      </c>
      <c r="K10" t="n">
        <v>14296</v>
      </c>
      <c r="L10" t="n">
        <v>74.8</v>
      </c>
      <c r="M10" t="n">
        <v>25.2</v>
      </c>
      <c r="N10" t="n">
        <v>1.49</v>
      </c>
      <c r="O10" t="n">
        <v>11.26</v>
      </c>
    </row>
    <row r="11">
      <c r="A11" t="inlineStr">
        <is>
          <t>LGA</t>
        </is>
      </c>
      <c r="B11" t="inlineStr">
        <is>
          <t>LaGuardia Airport</t>
        </is>
      </c>
      <c r="C11" t="inlineStr">
        <is>
          <t>New York, NY</t>
        </is>
      </c>
      <c r="D11" t="inlineStr">
        <is>
          <t>NY</t>
        </is>
      </c>
      <c r="E11" t="n">
        <v>40.777199</v>
      </c>
      <c r="F11" t="n">
        <v>-73.872597</v>
      </c>
      <c r="G11" t="n">
        <v>52225</v>
      </c>
      <c r="H11" t="n">
        <v>1083</v>
      </c>
      <c r="I11" t="n">
        <v>99</v>
      </c>
      <c r="J11" t="n">
        <v>51043</v>
      </c>
      <c r="K11" t="n">
        <v>8276</v>
      </c>
      <c r="L11" t="n">
        <v>83.8</v>
      </c>
      <c r="M11" t="n">
        <v>16.2</v>
      </c>
      <c r="N11" t="n">
        <v>2.07</v>
      </c>
      <c r="O11" t="n">
        <v>-2.07</v>
      </c>
    </row>
    <row r="12">
      <c r="A12" t="inlineStr">
        <is>
          <t>SEA</t>
        </is>
      </c>
      <c r="B12" t="inlineStr">
        <is>
          <t>Seattle–Tacoma International Airport</t>
        </is>
      </c>
      <c r="C12" t="inlineStr">
        <is>
          <t>Seattle, WA</t>
        </is>
      </c>
      <c r="D12" t="inlineStr">
        <is>
          <t>WA</t>
        </is>
      </c>
      <c r="E12" t="n">
        <v>47.447943</v>
      </c>
      <c r="F12" t="n">
        <v>-122.310276</v>
      </c>
      <c r="G12" t="n">
        <v>48404</v>
      </c>
      <c r="H12" t="n">
        <v>1063</v>
      </c>
      <c r="I12" t="n">
        <v>160</v>
      </c>
      <c r="J12" t="n">
        <v>47181</v>
      </c>
      <c r="K12" t="n">
        <v>9533</v>
      </c>
      <c r="L12" t="n">
        <v>79.8</v>
      </c>
      <c r="M12" t="n">
        <v>20.2</v>
      </c>
      <c r="N12" t="n">
        <v>2.2</v>
      </c>
      <c r="O12" t="n">
        <v>4.85</v>
      </c>
    </row>
    <row r="13">
      <c r="A13" t="inlineStr">
        <is>
          <t>DCA</t>
        </is>
      </c>
      <c r="B13" t="inlineStr">
        <is>
          <t>Ronald Reagan Washington National Airport</t>
        </is>
      </c>
      <c r="C13" t="inlineStr">
        <is>
          <t>Washington, DC</t>
        </is>
      </c>
      <c r="D13" t="inlineStr">
        <is>
          <t>VA</t>
        </is>
      </c>
      <c r="E13" t="n">
        <v>38.8521</v>
      </c>
      <c r="F13" t="n">
        <v>-77.03769699999999</v>
      </c>
      <c r="G13" t="n">
        <v>46300</v>
      </c>
      <c r="H13" t="n">
        <v>825</v>
      </c>
      <c r="I13" t="n">
        <v>85</v>
      </c>
      <c r="J13" t="n">
        <v>45390</v>
      </c>
      <c r="K13" t="n">
        <v>8174</v>
      </c>
      <c r="L13" t="n">
        <v>82</v>
      </c>
      <c r="M13" t="n">
        <v>18</v>
      </c>
      <c r="N13" t="n">
        <v>1.78</v>
      </c>
      <c r="O13" t="n">
        <v>2.6</v>
      </c>
    </row>
    <row r="14">
      <c r="A14" t="inlineStr">
        <is>
          <t>BOS</t>
        </is>
      </c>
      <c r="B14" t="inlineStr">
        <is>
          <t>Boston Logan International Airport</t>
        </is>
      </c>
      <c r="C14" t="inlineStr">
        <is>
          <t>Boston, MA</t>
        </is>
      </c>
      <c r="D14" t="inlineStr">
        <is>
          <t>MA</t>
        </is>
      </c>
      <c r="E14" t="n">
        <v>42.36197</v>
      </c>
      <c r="F14" t="n">
        <v>-71.00790000000001</v>
      </c>
      <c r="G14" t="n">
        <v>43167</v>
      </c>
      <c r="H14" t="n">
        <v>617</v>
      </c>
      <c r="I14" t="n">
        <v>111</v>
      </c>
      <c r="J14" t="n">
        <v>42439</v>
      </c>
      <c r="K14" t="n">
        <v>7904</v>
      </c>
      <c r="L14" t="n">
        <v>81.40000000000001</v>
      </c>
      <c r="M14" t="n">
        <v>18.6</v>
      </c>
      <c r="N14" t="n">
        <v>1.43</v>
      </c>
      <c r="O14" t="n">
        <v>0.95</v>
      </c>
    </row>
    <row r="15">
      <c r="A15" t="inlineStr">
        <is>
          <t>EWR</t>
        </is>
      </c>
      <c r="B15" t="inlineStr">
        <is>
          <t>Newark Liberty International Airport</t>
        </is>
      </c>
      <c r="C15" t="inlineStr">
        <is>
          <t>Newark, NJ</t>
        </is>
      </c>
      <c r="D15" t="inlineStr">
        <is>
          <t>NJ</t>
        </is>
      </c>
      <c r="E15" t="n">
        <v>40.6894</v>
      </c>
      <c r="F15" t="n">
        <v>-74.170545</v>
      </c>
      <c r="G15" t="n">
        <v>41495</v>
      </c>
      <c r="H15" t="n">
        <v>1041</v>
      </c>
      <c r="I15" t="n">
        <v>94</v>
      </c>
      <c r="J15" t="n">
        <v>40360</v>
      </c>
      <c r="K15" t="n">
        <v>7295</v>
      </c>
      <c r="L15" t="n">
        <v>81.90000000000001</v>
      </c>
      <c r="M15" t="n">
        <v>18.1</v>
      </c>
      <c r="N15" t="n">
        <v>2.51</v>
      </c>
      <c r="O15" t="n">
        <v>-0.33</v>
      </c>
    </row>
    <row r="16">
      <c r="A16" t="inlineStr">
        <is>
          <t>SFO</t>
        </is>
      </c>
      <c r="B16" t="inlineStr">
        <is>
          <t>San Francisco International Airport</t>
        </is>
      </c>
      <c r="C16" t="inlineStr">
        <is>
          <t>San Francisco, CA</t>
        </is>
      </c>
      <c r="D16" t="inlineStr">
        <is>
          <t>CA</t>
        </is>
      </c>
      <c r="E16" t="n">
        <v>37.619806</v>
      </c>
      <c r="F16" t="n">
        <v>-122.374821</v>
      </c>
      <c r="G16" t="n">
        <v>41281</v>
      </c>
      <c r="H16" t="n">
        <v>930</v>
      </c>
      <c r="I16" t="n">
        <v>90</v>
      </c>
      <c r="J16" t="n">
        <v>40261</v>
      </c>
      <c r="K16" t="n">
        <v>10196</v>
      </c>
      <c r="L16" t="n">
        <v>74.7</v>
      </c>
      <c r="M16" t="n">
        <v>25.3</v>
      </c>
      <c r="N16" t="n">
        <v>2.25</v>
      </c>
      <c r="O16" t="n">
        <v>10.22</v>
      </c>
    </row>
    <row r="17">
      <c r="A17" t="inlineStr">
        <is>
          <t>DTW</t>
        </is>
      </c>
      <c r="B17" t="inlineStr">
        <is>
          <t>Detroit Metropolitan Wayne County Airport</t>
        </is>
      </c>
      <c r="C17" t="inlineStr">
        <is>
          <t>Detroit, MI</t>
        </is>
      </c>
      <c r="D17" t="inlineStr">
        <is>
          <t>MI</t>
        </is>
      </c>
      <c r="E17" t="n">
        <v>42.21377</v>
      </c>
      <c r="F17" t="n">
        <v>-83.353786</v>
      </c>
      <c r="G17" t="n">
        <v>40100</v>
      </c>
      <c r="H17" t="n">
        <v>413</v>
      </c>
      <c r="I17" t="n">
        <v>80</v>
      </c>
      <c r="J17" t="n">
        <v>39607</v>
      </c>
      <c r="K17" t="n">
        <v>7191</v>
      </c>
      <c r="L17" t="n">
        <v>81.8</v>
      </c>
      <c r="M17" t="n">
        <v>18.2</v>
      </c>
      <c r="N17" t="n">
        <v>1.03</v>
      </c>
      <c r="O17" t="n">
        <v>3.84</v>
      </c>
    </row>
    <row r="18">
      <c r="A18" t="inlineStr">
        <is>
          <t>MIA</t>
        </is>
      </c>
      <c r="B18" t="inlineStr">
        <is>
          <t>Miami International Airport</t>
        </is>
      </c>
      <c r="C18" t="inlineStr">
        <is>
          <t>Miami, FL</t>
        </is>
      </c>
      <c r="D18" t="inlineStr">
        <is>
          <t>FL</t>
        </is>
      </c>
      <c r="E18" t="n">
        <v>25.796011</v>
      </c>
      <c r="F18" t="n">
        <v>-80.289751</v>
      </c>
      <c r="G18" t="n">
        <v>39885</v>
      </c>
      <c r="H18" t="n">
        <v>585</v>
      </c>
      <c r="I18" t="n">
        <v>113</v>
      </c>
      <c r="J18" t="n">
        <v>39187</v>
      </c>
      <c r="K18" t="n">
        <v>11324</v>
      </c>
      <c r="L18" t="n">
        <v>71.09999999999999</v>
      </c>
      <c r="M18" t="n">
        <v>28.9</v>
      </c>
      <c r="N18" t="n">
        <v>1.47</v>
      </c>
      <c r="O18" t="n">
        <v>15.89</v>
      </c>
    </row>
    <row r="19">
      <c r="A19" t="inlineStr">
        <is>
          <t>JFK</t>
        </is>
      </c>
      <c r="B19" t="inlineStr">
        <is>
          <t>John F. Kennedy International Airport</t>
        </is>
      </c>
      <c r="C19" t="inlineStr">
        <is>
          <t>New York, NY</t>
        </is>
      </c>
      <c r="D19" t="inlineStr">
        <is>
          <t>NY</t>
        </is>
      </c>
      <c r="E19" t="n">
        <v>40.639447</v>
      </c>
      <c r="F19" t="n">
        <v>-73.77931700000001</v>
      </c>
      <c r="G19" t="n">
        <v>39018</v>
      </c>
      <c r="H19" t="n">
        <v>571</v>
      </c>
      <c r="I19" t="n">
        <v>77</v>
      </c>
      <c r="J19" t="n">
        <v>38370</v>
      </c>
      <c r="K19" t="n">
        <v>7618</v>
      </c>
      <c r="L19" t="n">
        <v>80.2</v>
      </c>
      <c r="M19" t="n">
        <v>19.9</v>
      </c>
      <c r="N19" t="n">
        <v>1.46</v>
      </c>
      <c r="O19" t="n">
        <v>1.04</v>
      </c>
    </row>
    <row r="20">
      <c r="A20" t="inlineStr">
        <is>
          <t>MSP</t>
        </is>
      </c>
      <c r="B20" t="inlineStr">
        <is>
          <t>Minneapolis–Saint Paul International Airport / Wold–Chamberlain Field</t>
        </is>
      </c>
      <c r="C20" t="inlineStr">
        <is>
          <t>Minneapolis, MN</t>
        </is>
      </c>
      <c r="D20" t="inlineStr">
        <is>
          <t>MN</t>
        </is>
      </c>
      <c r="E20" t="n">
        <v>44.880081</v>
      </c>
      <c r="F20" t="n">
        <v>-93.22174099999999</v>
      </c>
      <c r="G20" t="n">
        <v>38757</v>
      </c>
      <c r="H20" t="n">
        <v>331</v>
      </c>
      <c r="I20" t="n">
        <v>90</v>
      </c>
      <c r="J20" t="n">
        <v>38336</v>
      </c>
      <c r="K20" t="n">
        <v>5969</v>
      </c>
      <c r="L20" t="n">
        <v>84.40000000000001</v>
      </c>
      <c r="M20" t="n">
        <v>15.6</v>
      </c>
      <c r="N20" t="n">
        <v>0.85</v>
      </c>
      <c r="O20" t="n">
        <v>-0.33</v>
      </c>
    </row>
    <row r="21">
      <c r="A21" t="inlineStr">
        <is>
          <t>SLC</t>
        </is>
      </c>
      <c r="B21" t="inlineStr">
        <is>
          <t>Salt Lake City International Airport</t>
        </is>
      </c>
      <c r="C21" t="inlineStr">
        <is>
          <t>Salt Lake City, UT</t>
        </is>
      </c>
      <c r="D21" t="inlineStr">
        <is>
          <t>UT</t>
        </is>
      </c>
      <c r="E21" t="n">
        <v>40.78886</v>
      </c>
      <c r="F21" t="n">
        <v>-111.979866</v>
      </c>
      <c r="G21" t="n">
        <v>37239</v>
      </c>
      <c r="H21" t="n">
        <v>177</v>
      </c>
      <c r="I21" t="n">
        <v>87</v>
      </c>
      <c r="J21" t="n">
        <v>36975</v>
      </c>
      <c r="K21" t="n">
        <v>6582</v>
      </c>
      <c r="L21" t="n">
        <v>82.2</v>
      </c>
      <c r="M21" t="n">
        <v>17.8</v>
      </c>
      <c r="N21" t="n">
        <v>0.48</v>
      </c>
      <c r="O21" t="n">
        <v>3.41</v>
      </c>
    </row>
    <row r="22">
      <c r="A22" t="inlineStr">
        <is>
          <t>IAH</t>
        </is>
      </c>
      <c r="B22" t="inlineStr">
        <is>
          <t>George Bush Intercontinental Airport</t>
        </is>
      </c>
      <c r="C22" t="inlineStr">
        <is>
          <t>Houston, TX</t>
        </is>
      </c>
      <c r="D22" t="inlineStr">
        <is>
          <t>TX</t>
        </is>
      </c>
      <c r="E22" t="n">
        <v>29.9844</v>
      </c>
      <c r="F22" t="n">
        <v>-95.34139999999999</v>
      </c>
      <c r="G22" t="n">
        <v>36242</v>
      </c>
      <c r="H22" t="n">
        <v>687</v>
      </c>
      <c r="I22" t="n">
        <v>101</v>
      </c>
      <c r="J22" t="n">
        <v>35454</v>
      </c>
      <c r="K22" t="n">
        <v>7588</v>
      </c>
      <c r="L22" t="n">
        <v>78.59999999999999</v>
      </c>
      <c r="M22" t="n">
        <v>21.4</v>
      </c>
      <c r="N22" t="n">
        <v>1.9</v>
      </c>
      <c r="O22" t="n">
        <v>8.35</v>
      </c>
    </row>
    <row r="23">
      <c r="A23" t="inlineStr">
        <is>
          <t>FLL</t>
        </is>
      </c>
      <c r="B23" t="inlineStr">
        <is>
          <t>Fort Lauderdale Hollywood International Airport</t>
        </is>
      </c>
      <c r="C23" t="inlineStr">
        <is>
          <t>Fort Lauderdale, FL</t>
        </is>
      </c>
      <c r="D23" t="inlineStr">
        <is>
          <t>FL</t>
        </is>
      </c>
      <c r="E23" t="n">
        <v>26.072599</v>
      </c>
      <c r="F23" t="n">
        <v>-80.15270200000001</v>
      </c>
      <c r="G23" t="n">
        <v>34105</v>
      </c>
      <c r="H23" t="n">
        <v>524</v>
      </c>
      <c r="I23" t="n">
        <v>105</v>
      </c>
      <c r="J23" t="n">
        <v>33476</v>
      </c>
      <c r="K23" t="n">
        <v>9717</v>
      </c>
      <c r="L23" t="n">
        <v>71</v>
      </c>
      <c r="M23" t="n">
        <v>29</v>
      </c>
      <c r="N23" t="n">
        <v>1.54</v>
      </c>
      <c r="O23" t="n">
        <v>14.59</v>
      </c>
    </row>
    <row r="24">
      <c r="A24" t="inlineStr">
        <is>
          <t>BNA</t>
        </is>
      </c>
      <c r="B24" t="inlineStr">
        <is>
          <t>Nashville International Airport</t>
        </is>
      </c>
      <c r="C24" t="inlineStr">
        <is>
          <t>Nashville, TN</t>
        </is>
      </c>
      <c r="D24" t="inlineStr">
        <is>
          <t>TN</t>
        </is>
      </c>
      <c r="E24" t="n">
        <v>36.1245</v>
      </c>
      <c r="F24" t="n">
        <v>-86.6782</v>
      </c>
      <c r="G24" t="n">
        <v>31135</v>
      </c>
      <c r="H24" t="n">
        <v>629</v>
      </c>
      <c r="I24" t="n">
        <v>58</v>
      </c>
      <c r="J24" t="n">
        <v>30448</v>
      </c>
      <c r="K24" t="n">
        <v>5412</v>
      </c>
      <c r="L24" t="n">
        <v>82.2</v>
      </c>
      <c r="M24" t="n">
        <v>17.8</v>
      </c>
      <c r="N24" t="n">
        <v>2.02</v>
      </c>
      <c r="O24" t="n">
        <v>4.56</v>
      </c>
    </row>
    <row r="25">
      <c r="A25" t="inlineStr">
        <is>
          <t>BWI</t>
        </is>
      </c>
      <c r="B25" t="inlineStr">
        <is>
          <t>Baltimore/Washington International Thurgood Marshall Airport</t>
        </is>
      </c>
      <c r="C25" t="inlineStr">
        <is>
          <t>Baltimore, MD</t>
        </is>
      </c>
      <c r="D25" t="inlineStr">
        <is>
          <t>MD</t>
        </is>
      </c>
      <c r="E25" t="n">
        <v>39.1754</v>
      </c>
      <c r="F25" t="n">
        <v>-76.668297</v>
      </c>
      <c r="G25" t="n">
        <v>30751</v>
      </c>
      <c r="H25" t="n">
        <v>402</v>
      </c>
      <c r="I25" t="n">
        <v>50</v>
      </c>
      <c r="J25" t="n">
        <v>30299</v>
      </c>
      <c r="K25" t="n">
        <v>7087</v>
      </c>
      <c r="L25" t="n">
        <v>76.59999999999999</v>
      </c>
      <c r="M25" t="n">
        <v>23.4</v>
      </c>
      <c r="N25" t="n">
        <v>1.31</v>
      </c>
      <c r="O25" t="n">
        <v>6.39</v>
      </c>
    </row>
    <row r="26">
      <c r="A26" t="inlineStr">
        <is>
          <t>PHL</t>
        </is>
      </c>
      <c r="B26" t="inlineStr">
        <is>
          <t>Philadelphia International Airport</t>
        </is>
      </c>
      <c r="C26" t="inlineStr">
        <is>
          <t>Philadelphia, PA</t>
        </is>
      </c>
      <c r="D26" t="inlineStr">
        <is>
          <t>PA</t>
        </is>
      </c>
      <c r="E26" t="n">
        <v>39.871899</v>
      </c>
      <c r="F26" t="n">
        <v>-75.241096</v>
      </c>
      <c r="G26" t="n">
        <v>28864</v>
      </c>
      <c r="H26" t="n">
        <v>302</v>
      </c>
      <c r="I26" t="n">
        <v>55</v>
      </c>
      <c r="J26" t="n">
        <v>28507</v>
      </c>
      <c r="K26" t="n">
        <v>5484</v>
      </c>
      <c r="L26" t="n">
        <v>80.8</v>
      </c>
      <c r="M26" t="n">
        <v>19.2</v>
      </c>
      <c r="N26" t="n">
        <v>1.05</v>
      </c>
      <c r="O26" t="n">
        <v>4.54</v>
      </c>
    </row>
    <row r="27">
      <c r="A27" t="inlineStr">
        <is>
          <t>SAN</t>
        </is>
      </c>
      <c r="B27" t="inlineStr">
        <is>
          <t>San Diego International Airport</t>
        </is>
      </c>
      <c r="C27" t="inlineStr">
        <is>
          <t>San Diego, CA</t>
        </is>
      </c>
      <c r="D27" t="inlineStr">
        <is>
          <t>CA</t>
        </is>
      </c>
      <c r="E27" t="n">
        <v>32.733601</v>
      </c>
      <c r="F27" t="n">
        <v>-117.190002</v>
      </c>
      <c r="G27" t="n">
        <v>28818</v>
      </c>
      <c r="H27" t="n">
        <v>481</v>
      </c>
      <c r="I27" t="n">
        <v>84</v>
      </c>
      <c r="J27" t="n">
        <v>28253</v>
      </c>
      <c r="K27" t="n">
        <v>5507</v>
      </c>
      <c r="L27" t="n">
        <v>80.5</v>
      </c>
      <c r="M27" t="n">
        <v>19.5</v>
      </c>
      <c r="N27" t="n">
        <v>1.67</v>
      </c>
      <c r="O27" t="n">
        <v>5.01</v>
      </c>
    </row>
    <row r="28">
      <c r="A28" t="inlineStr">
        <is>
          <t>TPA</t>
        </is>
      </c>
      <c r="B28" t="inlineStr">
        <is>
          <t>Tampa International Airport</t>
        </is>
      </c>
      <c r="C28" t="inlineStr">
        <is>
          <t>Tampa, FL</t>
        </is>
      </c>
      <c r="D28" t="inlineStr">
        <is>
          <t>FL</t>
        </is>
      </c>
      <c r="E28" t="n">
        <v>27.9755</v>
      </c>
      <c r="F28" t="n">
        <v>-82.533203</v>
      </c>
      <c r="G28" t="n">
        <v>28554</v>
      </c>
      <c r="H28" t="n">
        <v>457</v>
      </c>
      <c r="I28" t="n">
        <v>62</v>
      </c>
      <c r="J28" t="n">
        <v>28035</v>
      </c>
      <c r="K28" t="n">
        <v>6018</v>
      </c>
      <c r="L28" t="n">
        <v>78.5</v>
      </c>
      <c r="M28" t="n">
        <v>21.5</v>
      </c>
      <c r="N28" t="n">
        <v>1.6</v>
      </c>
      <c r="O28" t="n">
        <v>9.15</v>
      </c>
    </row>
    <row r="29">
      <c r="A29" t="inlineStr">
        <is>
          <t>AUS</t>
        </is>
      </c>
      <c r="B29" t="inlineStr">
        <is>
          <t>Austin Bergstrom International Airport</t>
        </is>
      </c>
      <c r="C29" t="inlineStr">
        <is>
          <t>Austin, TX</t>
        </is>
      </c>
      <c r="D29" t="inlineStr">
        <is>
          <t>TX</t>
        </is>
      </c>
      <c r="E29" t="n">
        <v>30.197535</v>
      </c>
      <c r="F29" t="n">
        <v>-97.662015</v>
      </c>
      <c r="G29" t="n">
        <v>27023</v>
      </c>
      <c r="H29" t="n">
        <v>336</v>
      </c>
      <c r="I29" t="n">
        <v>49</v>
      </c>
      <c r="J29" t="n">
        <v>26638</v>
      </c>
      <c r="K29" t="n">
        <v>5696</v>
      </c>
      <c r="L29" t="n">
        <v>78.59999999999999</v>
      </c>
      <c r="M29" t="n">
        <v>21.4</v>
      </c>
      <c r="N29" t="n">
        <v>1.24</v>
      </c>
      <c r="O29" t="n">
        <v>7.9</v>
      </c>
    </row>
    <row r="30">
      <c r="A30" t="inlineStr">
        <is>
          <t>MDW</t>
        </is>
      </c>
      <c r="B30" t="inlineStr">
        <is>
          <t>Chicago Midway International Airport</t>
        </is>
      </c>
      <c r="C30" t="inlineStr">
        <is>
          <t>Chicago, IL</t>
        </is>
      </c>
      <c r="D30" t="inlineStr">
        <is>
          <t>IL</t>
        </is>
      </c>
      <c r="E30" t="n">
        <v>41.785999</v>
      </c>
      <c r="F30" t="n">
        <v>-87.752403</v>
      </c>
      <c r="G30" t="n">
        <v>24597</v>
      </c>
      <c r="H30" t="n">
        <v>563</v>
      </c>
      <c r="I30" t="n">
        <v>42</v>
      </c>
      <c r="J30" t="n">
        <v>23992</v>
      </c>
      <c r="K30" t="n">
        <v>4848</v>
      </c>
      <c r="L30" t="n">
        <v>79.8</v>
      </c>
      <c r="M30" t="n">
        <v>20.2</v>
      </c>
      <c r="N30" t="n">
        <v>2.29</v>
      </c>
      <c r="O30" t="n">
        <v>4.06</v>
      </c>
    </row>
    <row r="31">
      <c r="A31" t="inlineStr">
        <is>
          <t>DAL</t>
        </is>
      </c>
      <c r="B31" t="inlineStr">
        <is>
          <t>Dallas Love Field</t>
        </is>
      </c>
      <c r="C31" t="inlineStr">
        <is>
          <t>Dallas, TX</t>
        </is>
      </c>
      <c r="D31" t="inlineStr">
        <is>
          <t>TX</t>
        </is>
      </c>
      <c r="E31" t="n">
        <v>32.844776</v>
      </c>
      <c r="F31" t="n">
        <v>-96.84765299999999</v>
      </c>
      <c r="G31" t="n">
        <v>23911</v>
      </c>
      <c r="H31" t="n">
        <v>326</v>
      </c>
      <c r="I31" t="n">
        <v>33</v>
      </c>
      <c r="J31" t="n">
        <v>23552</v>
      </c>
      <c r="K31" t="n">
        <v>5043</v>
      </c>
      <c r="L31" t="n">
        <v>78.59999999999999</v>
      </c>
      <c r="M31" t="n">
        <v>21.4</v>
      </c>
      <c r="N31" t="n">
        <v>1.36</v>
      </c>
      <c r="O31" t="n">
        <v>5.86</v>
      </c>
    </row>
    <row r="32">
      <c r="A32" t="inlineStr">
        <is>
          <t>STL</t>
        </is>
      </c>
      <c r="B32" t="inlineStr">
        <is>
          <t>St. Louis Lambert International Airport</t>
        </is>
      </c>
      <c r="C32" t="inlineStr">
        <is>
          <t>St. Louis, MO</t>
        </is>
      </c>
      <c r="D32" t="inlineStr">
        <is>
          <t>MO</t>
        </is>
      </c>
      <c r="E32" t="n">
        <v>38.748697</v>
      </c>
      <c r="F32" t="n">
        <v>-90.370003</v>
      </c>
      <c r="G32" t="n">
        <v>20433</v>
      </c>
      <c r="H32" t="n">
        <v>323</v>
      </c>
      <c r="I32" t="n">
        <v>33</v>
      </c>
      <c r="J32" t="n">
        <v>20077</v>
      </c>
      <c r="K32" t="n">
        <v>4028</v>
      </c>
      <c r="L32" t="n">
        <v>79.90000000000001</v>
      </c>
      <c r="M32" t="n">
        <v>20.1</v>
      </c>
      <c r="N32" t="n">
        <v>1.58</v>
      </c>
      <c r="O32" t="n">
        <v>6.03</v>
      </c>
    </row>
    <row r="33">
      <c r="A33" t="inlineStr">
        <is>
          <t>HNL</t>
        </is>
      </c>
      <c r="B33" t="inlineStr">
        <is>
          <t>Daniel K. Inouye International Airport</t>
        </is>
      </c>
      <c r="C33" t="inlineStr">
        <is>
          <t>Honolulu, HI</t>
        </is>
      </c>
      <c r="D33" t="inlineStr">
        <is>
          <t>HI</t>
        </is>
      </c>
      <c r="E33" t="n">
        <v>21.318387</v>
      </c>
      <c r="F33" t="n">
        <v>-157.92567</v>
      </c>
      <c r="G33" t="n">
        <v>20315</v>
      </c>
      <c r="H33" t="n">
        <v>253</v>
      </c>
      <c r="I33" t="n">
        <v>29</v>
      </c>
      <c r="J33" t="n">
        <v>20033</v>
      </c>
      <c r="K33" t="n">
        <v>3001</v>
      </c>
      <c r="L33" t="n">
        <v>85</v>
      </c>
      <c r="M33" t="n">
        <v>15</v>
      </c>
      <c r="N33" t="n">
        <v>1.25</v>
      </c>
      <c r="O33" t="n">
        <v>1.09</v>
      </c>
    </row>
    <row r="34">
      <c r="A34" t="inlineStr">
        <is>
          <t>HOU</t>
        </is>
      </c>
      <c r="B34" t="inlineStr">
        <is>
          <t>William P. Hobby Airport</t>
        </is>
      </c>
      <c r="C34" t="inlineStr">
        <is>
          <t>Houston, TX</t>
        </is>
      </c>
      <c r="D34" t="inlineStr">
        <is>
          <t>TX</t>
        </is>
      </c>
      <c r="E34" t="n">
        <v>29.645336</v>
      </c>
      <c r="F34" t="n">
        <v>-95.27681200000001</v>
      </c>
      <c r="G34" t="n">
        <v>18596</v>
      </c>
      <c r="H34" t="n">
        <v>175</v>
      </c>
      <c r="I34" t="n">
        <v>24</v>
      </c>
      <c r="J34" t="n">
        <v>18397</v>
      </c>
      <c r="K34" t="n">
        <v>3463</v>
      </c>
      <c r="L34" t="n">
        <v>81.2</v>
      </c>
      <c r="M34" t="n">
        <v>18.8</v>
      </c>
      <c r="N34" t="n">
        <v>0.9399999999999999</v>
      </c>
      <c r="O34" t="n">
        <v>3.67</v>
      </c>
    </row>
    <row r="35">
      <c r="A35" t="inlineStr">
        <is>
          <t>RDU</t>
        </is>
      </c>
      <c r="B35" t="inlineStr">
        <is>
          <t>Raleigh-Durham International Airport</t>
        </is>
      </c>
      <c r="C35" t="inlineStr">
        <is>
          <t>Raleigh/Durham, NC</t>
        </is>
      </c>
      <c r="D35" t="inlineStr">
        <is>
          <t>NC</t>
        </is>
      </c>
      <c r="E35" t="n">
        <v>35.878659</v>
      </c>
      <c r="F35" t="n">
        <v>-78.7873</v>
      </c>
      <c r="G35" t="n">
        <v>18580</v>
      </c>
      <c r="H35" t="n">
        <v>198</v>
      </c>
      <c r="I35" t="n">
        <v>31</v>
      </c>
      <c r="J35" t="n">
        <v>18351</v>
      </c>
      <c r="K35" t="n">
        <v>3355</v>
      </c>
      <c r="L35" t="n">
        <v>81.7</v>
      </c>
      <c r="M35" t="n">
        <v>18.3</v>
      </c>
      <c r="N35" t="n">
        <v>1.07</v>
      </c>
      <c r="O35" t="n">
        <v>5.15</v>
      </c>
    </row>
    <row r="36">
      <c r="A36" t="inlineStr">
        <is>
          <t>PDX</t>
        </is>
      </c>
      <c r="B36" t="inlineStr">
        <is>
          <t>Portland International Airport</t>
        </is>
      </c>
      <c r="C36" t="inlineStr">
        <is>
          <t>Portland, OR</t>
        </is>
      </c>
      <c r="D36" t="inlineStr">
        <is>
          <t>OR</t>
        </is>
      </c>
      <c r="E36" t="n">
        <v>45.588699</v>
      </c>
      <c r="F36" t="n">
        <v>-122.598</v>
      </c>
      <c r="G36" t="n">
        <v>17728</v>
      </c>
      <c r="H36" t="n">
        <v>448</v>
      </c>
      <c r="I36" t="n">
        <v>36</v>
      </c>
      <c r="J36" t="n">
        <v>17244</v>
      </c>
      <c r="K36" t="n">
        <v>3089</v>
      </c>
      <c r="L36" t="n">
        <v>82.09999999999999</v>
      </c>
      <c r="M36" t="n">
        <v>17.9</v>
      </c>
      <c r="N36" t="n">
        <v>2.53</v>
      </c>
      <c r="O36" t="n">
        <v>5.25</v>
      </c>
    </row>
    <row r="37">
      <c r="A37" t="inlineStr">
        <is>
          <t>MSY</t>
        </is>
      </c>
      <c r="B37" t="inlineStr">
        <is>
          <t>Louis Armstrong New Orleans International Airport</t>
        </is>
      </c>
      <c r="C37" t="inlineStr">
        <is>
          <t>New Orleans, LA</t>
        </is>
      </c>
      <c r="D37" t="inlineStr">
        <is>
          <t>LA</t>
        </is>
      </c>
      <c r="E37" t="n">
        <v>29.993401</v>
      </c>
      <c r="F37" t="n">
        <v>-90.264673</v>
      </c>
      <c r="G37" t="n">
        <v>16927</v>
      </c>
      <c r="H37" t="n">
        <v>197</v>
      </c>
      <c r="I37" t="n">
        <v>22</v>
      </c>
      <c r="J37" t="n">
        <v>16708</v>
      </c>
      <c r="K37" t="n">
        <v>3438</v>
      </c>
      <c r="L37" t="n">
        <v>79.40000000000001</v>
      </c>
      <c r="M37" t="n">
        <v>20.6</v>
      </c>
      <c r="N37" t="n">
        <v>1.16</v>
      </c>
      <c r="O37" t="n">
        <v>8.06</v>
      </c>
    </row>
    <row r="38">
      <c r="A38" t="inlineStr">
        <is>
          <t>SMF</t>
        </is>
      </c>
      <c r="B38" t="inlineStr">
        <is>
          <t>Sacramento International Airport</t>
        </is>
      </c>
      <c r="C38" t="inlineStr">
        <is>
          <t>Sacramento, CA</t>
        </is>
      </c>
      <c r="D38" t="inlineStr">
        <is>
          <t>CA</t>
        </is>
      </c>
      <c r="E38" t="n">
        <v>38.6954</v>
      </c>
      <c r="F38" t="n">
        <v>-121.591003</v>
      </c>
      <c r="G38" t="n">
        <v>16514</v>
      </c>
      <c r="H38" t="n">
        <v>137</v>
      </c>
      <c r="I38" t="n">
        <v>29</v>
      </c>
      <c r="J38" t="n">
        <v>16348</v>
      </c>
      <c r="K38" t="n">
        <v>2509</v>
      </c>
      <c r="L38" t="n">
        <v>84.7</v>
      </c>
      <c r="M38" t="n">
        <v>15.4</v>
      </c>
      <c r="N38" t="n">
        <v>0.83</v>
      </c>
      <c r="O38" t="n">
        <v>2.25</v>
      </c>
    </row>
    <row r="39">
      <c r="A39" t="inlineStr">
        <is>
          <t>IAD</t>
        </is>
      </c>
      <c r="B39" t="inlineStr">
        <is>
          <t>Washington Dulles International Airport</t>
        </is>
      </c>
      <c r="C39" t="inlineStr">
        <is>
          <t>Washington, DC</t>
        </is>
      </c>
      <c r="D39" t="inlineStr">
        <is>
          <t>VA</t>
        </is>
      </c>
      <c r="E39" t="n">
        <v>38.9445</v>
      </c>
      <c r="F39" t="n">
        <v>-77.455803</v>
      </c>
      <c r="G39" t="n">
        <v>16330</v>
      </c>
      <c r="H39" t="n">
        <v>325</v>
      </c>
      <c r="I39" t="n">
        <v>26</v>
      </c>
      <c r="J39" t="n">
        <v>15979</v>
      </c>
      <c r="K39" t="n">
        <v>2609</v>
      </c>
      <c r="L39" t="n">
        <v>83.7</v>
      </c>
      <c r="M39" t="n">
        <v>16.3</v>
      </c>
      <c r="N39" t="n">
        <v>1.99</v>
      </c>
      <c r="O39" t="n">
        <v>0.31</v>
      </c>
    </row>
    <row r="40">
      <c r="A40" t="inlineStr">
        <is>
          <t>RSW</t>
        </is>
      </c>
      <c r="B40" t="inlineStr">
        <is>
          <t>Southwest Florida International Airport</t>
        </is>
      </c>
      <c r="C40" t="inlineStr">
        <is>
          <t>Fort Myers, FL</t>
        </is>
      </c>
      <c r="D40" t="inlineStr">
        <is>
          <t>FL</t>
        </is>
      </c>
      <c r="E40" t="n">
        <v>26.534685</v>
      </c>
      <c r="F40" t="n">
        <v>-81.752816</v>
      </c>
      <c r="G40" t="n">
        <v>15654</v>
      </c>
      <c r="H40" t="n">
        <v>284</v>
      </c>
      <c r="I40" t="n">
        <v>40</v>
      </c>
      <c r="J40" t="n">
        <v>15330</v>
      </c>
      <c r="K40" t="n">
        <v>3370</v>
      </c>
      <c r="L40" t="n">
        <v>78</v>
      </c>
      <c r="M40" t="n">
        <v>22</v>
      </c>
      <c r="N40" t="n">
        <v>1.81</v>
      </c>
      <c r="O40" t="n">
        <v>9.48</v>
      </c>
    </row>
    <row r="41">
      <c r="A41" t="inlineStr">
        <is>
          <t>MCI</t>
        </is>
      </c>
      <c r="B41" t="inlineStr">
        <is>
          <t>Kansas City International Airport</t>
        </is>
      </c>
      <c r="C41" t="inlineStr">
        <is>
          <t>Kansas City, MO</t>
        </is>
      </c>
      <c r="D41" t="inlineStr">
        <is>
          <t>MO</t>
        </is>
      </c>
      <c r="E41" t="n">
        <v>39.301699</v>
      </c>
      <c r="F41" t="n">
        <v>-94.713893</v>
      </c>
      <c r="G41" t="n">
        <v>15541</v>
      </c>
      <c r="H41" t="n">
        <v>241</v>
      </c>
      <c r="I41" t="n">
        <v>26</v>
      </c>
      <c r="J41" t="n">
        <v>15274</v>
      </c>
      <c r="K41" t="n">
        <v>2789</v>
      </c>
      <c r="L41" t="n">
        <v>81.7</v>
      </c>
      <c r="M41" t="n">
        <v>18.3</v>
      </c>
      <c r="N41" t="n">
        <v>1.55</v>
      </c>
      <c r="O41" t="n">
        <v>4.7</v>
      </c>
    </row>
    <row r="42">
      <c r="A42" t="inlineStr">
        <is>
          <t>SJC</t>
        </is>
      </c>
      <c r="B42" t="inlineStr">
        <is>
          <t>Mineta San Jose International Airport</t>
        </is>
      </c>
      <c r="C42" t="inlineStr">
        <is>
          <t>San Jose, CA</t>
        </is>
      </c>
      <c r="D42" t="inlineStr">
        <is>
          <t>CA</t>
        </is>
      </c>
      <c r="E42" t="n">
        <v>37.362452</v>
      </c>
      <c r="F42" t="n">
        <v>-121.929188</v>
      </c>
      <c r="G42" t="n">
        <v>15261</v>
      </c>
      <c r="H42" t="n">
        <v>132</v>
      </c>
      <c r="I42" t="n">
        <v>14</v>
      </c>
      <c r="J42" t="n">
        <v>15115</v>
      </c>
      <c r="K42" t="n">
        <v>2132</v>
      </c>
      <c r="L42" t="n">
        <v>85.90000000000001</v>
      </c>
      <c r="M42" t="n">
        <v>14.1</v>
      </c>
      <c r="N42" t="n">
        <v>0.86</v>
      </c>
      <c r="O42" t="n">
        <v>-0.01</v>
      </c>
    </row>
    <row r="43">
      <c r="A43" t="inlineStr">
        <is>
          <t>IND</t>
        </is>
      </c>
      <c r="B43" t="inlineStr">
        <is>
          <t>Indianapolis International Airport</t>
        </is>
      </c>
      <c r="C43" t="inlineStr">
        <is>
          <t>Indianapolis, IN</t>
        </is>
      </c>
      <c r="D43" t="inlineStr">
        <is>
          <t>IN</t>
        </is>
      </c>
      <c r="E43" t="n">
        <v>39.7173</v>
      </c>
      <c r="F43" t="n">
        <v>-86.294403</v>
      </c>
      <c r="G43" t="n">
        <v>15187</v>
      </c>
      <c r="H43" t="n">
        <v>180</v>
      </c>
      <c r="I43" t="n">
        <v>23</v>
      </c>
      <c r="J43" t="n">
        <v>14984</v>
      </c>
      <c r="K43" t="n">
        <v>2475</v>
      </c>
      <c r="L43" t="n">
        <v>83.5</v>
      </c>
      <c r="M43" t="n">
        <v>16.5</v>
      </c>
      <c r="N43" t="n">
        <v>1.19</v>
      </c>
      <c r="O43" t="n">
        <v>2.06</v>
      </c>
    </row>
    <row r="44">
      <c r="A44" t="inlineStr">
        <is>
          <t>SNA</t>
        </is>
      </c>
      <c r="B44" t="inlineStr">
        <is>
          <t>John Wayne Orange County International Airport</t>
        </is>
      </c>
      <c r="C44" t="inlineStr">
        <is>
          <t>Santa Ana, CA</t>
        </is>
      </c>
      <c r="D44" t="inlineStr">
        <is>
          <t>CA</t>
        </is>
      </c>
      <c r="E44" t="n">
        <v>33.675063</v>
      </c>
      <c r="F44" t="n">
        <v>-117.869281</v>
      </c>
      <c r="G44" t="n">
        <v>14438</v>
      </c>
      <c r="H44" t="n">
        <v>110</v>
      </c>
      <c r="I44" t="n">
        <v>37</v>
      </c>
      <c r="J44" t="n">
        <v>14291</v>
      </c>
      <c r="K44" t="n">
        <v>2651</v>
      </c>
      <c r="L44" t="n">
        <v>81.5</v>
      </c>
      <c r="M44" t="n">
        <v>18.6</v>
      </c>
      <c r="N44" t="n">
        <v>0.76</v>
      </c>
      <c r="O44" t="n">
        <v>4.31</v>
      </c>
    </row>
    <row r="45">
      <c r="A45" t="inlineStr">
        <is>
          <t>OAK</t>
        </is>
      </c>
      <c r="B45" t="inlineStr">
        <is>
          <t>Oakland San Francisco Bay Airport</t>
        </is>
      </c>
      <c r="C45" t="inlineStr">
        <is>
          <t>Oakland, CA</t>
        </is>
      </c>
      <c r="D45" t="inlineStr">
        <is>
          <t>CA</t>
        </is>
      </c>
      <c r="E45" t="n">
        <v>37.720085</v>
      </c>
      <c r="F45" t="n">
        <v>-122.221184</v>
      </c>
      <c r="G45" t="n">
        <v>13747</v>
      </c>
      <c r="H45" t="n">
        <v>128</v>
      </c>
      <c r="I45" t="n">
        <v>18</v>
      </c>
      <c r="J45" t="n">
        <v>13601</v>
      </c>
      <c r="K45" t="n">
        <v>2261</v>
      </c>
      <c r="L45" t="n">
        <v>83.40000000000001</v>
      </c>
      <c r="M45" t="n">
        <v>16.6</v>
      </c>
      <c r="N45" t="n">
        <v>0.93</v>
      </c>
      <c r="O45" t="n">
        <v>1.61</v>
      </c>
    </row>
    <row r="46">
      <c r="A46" t="inlineStr">
        <is>
          <t>PIT</t>
        </is>
      </c>
      <c r="B46" t="inlineStr">
        <is>
          <t>Pittsburgh International Airport</t>
        </is>
      </c>
      <c r="C46" t="inlineStr">
        <is>
          <t>Pittsburgh, PA</t>
        </is>
      </c>
      <c r="D46" t="inlineStr">
        <is>
          <t>PA</t>
        </is>
      </c>
      <c r="E46" t="n">
        <v>40.491501</v>
      </c>
      <c r="F46" t="n">
        <v>-80.23290299999999</v>
      </c>
      <c r="G46" t="n">
        <v>13527</v>
      </c>
      <c r="H46" t="n">
        <v>140</v>
      </c>
      <c r="I46" t="n">
        <v>18</v>
      </c>
      <c r="J46" t="n">
        <v>13369</v>
      </c>
      <c r="K46" t="n">
        <v>2107</v>
      </c>
      <c r="L46" t="n">
        <v>84.2</v>
      </c>
      <c r="M46" t="n">
        <v>15.8</v>
      </c>
      <c r="N46" t="n">
        <v>1.03</v>
      </c>
      <c r="O46" t="n">
        <v>0.46</v>
      </c>
    </row>
    <row r="47">
      <c r="A47" t="inlineStr">
        <is>
          <t>CVG</t>
        </is>
      </c>
      <c r="B47" t="inlineStr">
        <is>
          <t>Cincinnati Northern Kentucky International Airport</t>
        </is>
      </c>
      <c r="C47" t="inlineStr">
        <is>
          <t>Cincinnati, OH</t>
        </is>
      </c>
      <c r="D47" t="inlineStr">
        <is>
          <t>KY</t>
        </is>
      </c>
      <c r="E47" t="n">
        <v>39.048801</v>
      </c>
      <c r="F47" t="n">
        <v>-84.667801</v>
      </c>
      <c r="G47" t="n">
        <v>13257</v>
      </c>
      <c r="H47" t="n">
        <v>129</v>
      </c>
      <c r="I47" t="n">
        <v>27</v>
      </c>
      <c r="J47" t="n">
        <v>13101</v>
      </c>
      <c r="K47" t="n">
        <v>2127</v>
      </c>
      <c r="L47" t="n">
        <v>83.8</v>
      </c>
      <c r="M47" t="n">
        <v>16.2</v>
      </c>
      <c r="N47" t="n">
        <v>0.97</v>
      </c>
      <c r="O47" t="n">
        <v>1.43</v>
      </c>
    </row>
    <row r="48">
      <c r="A48" t="inlineStr">
        <is>
          <t>SAT</t>
        </is>
      </c>
      <c r="B48" t="inlineStr">
        <is>
          <t>San Antonio International Airport</t>
        </is>
      </c>
      <c r="C48" t="inlineStr">
        <is>
          <t>San Antonio, TX</t>
        </is>
      </c>
      <c r="D48" t="inlineStr">
        <is>
          <t>TX</t>
        </is>
      </c>
      <c r="E48" t="n">
        <v>29.533701</v>
      </c>
      <c r="F48" t="n">
        <v>-98.469803</v>
      </c>
      <c r="G48" t="n">
        <v>13133</v>
      </c>
      <c r="H48" t="n">
        <v>151</v>
      </c>
      <c r="I48" t="n">
        <v>20</v>
      </c>
      <c r="J48" t="n">
        <v>12962</v>
      </c>
      <c r="K48" t="n">
        <v>2237</v>
      </c>
      <c r="L48" t="n">
        <v>82.7</v>
      </c>
      <c r="M48" t="n">
        <v>17.3</v>
      </c>
      <c r="N48" t="n">
        <v>1.15</v>
      </c>
      <c r="O48" t="n">
        <v>5.01</v>
      </c>
    </row>
    <row r="49">
      <c r="A49" t="inlineStr">
        <is>
          <t>CMH</t>
        </is>
      </c>
      <c r="B49" t="inlineStr">
        <is>
          <t>John Glenn Columbus International Airport</t>
        </is>
      </c>
      <c r="C49" t="inlineStr">
        <is>
          <t>Columbus, OH</t>
        </is>
      </c>
      <c r="D49" t="inlineStr">
        <is>
          <t>OH</t>
        </is>
      </c>
      <c r="E49" t="n">
        <v>39.998001</v>
      </c>
      <c r="F49" t="n">
        <v>-82.891899</v>
      </c>
      <c r="G49" t="n">
        <v>13023</v>
      </c>
      <c r="H49" t="n">
        <v>136</v>
      </c>
      <c r="I49" t="n">
        <v>21</v>
      </c>
      <c r="J49" t="n">
        <v>12866</v>
      </c>
      <c r="K49" t="n">
        <v>2116</v>
      </c>
      <c r="L49" t="n">
        <v>83.59999999999999</v>
      </c>
      <c r="M49" t="n">
        <v>16.5</v>
      </c>
      <c r="N49" t="n">
        <v>1.04</v>
      </c>
      <c r="O49" t="n">
        <v>1.17</v>
      </c>
    </row>
    <row r="50">
      <c r="A50" t="inlineStr">
        <is>
          <t>CLE</t>
        </is>
      </c>
      <c r="B50" t="inlineStr">
        <is>
          <t>Cleveland Hopkins International Airport</t>
        </is>
      </c>
      <c r="C50" t="inlineStr">
        <is>
          <t>Cleveland, OH</t>
        </is>
      </c>
      <c r="D50" t="inlineStr">
        <is>
          <t>OH</t>
        </is>
      </c>
      <c r="E50" t="n">
        <v>41.411701</v>
      </c>
      <c r="F50" t="n">
        <v>-81.8498</v>
      </c>
      <c r="G50" t="n">
        <v>12823</v>
      </c>
      <c r="H50" t="n">
        <v>242</v>
      </c>
      <c r="I50" t="n">
        <v>16</v>
      </c>
      <c r="J50" t="n">
        <v>12565</v>
      </c>
      <c r="K50" t="n">
        <v>2223</v>
      </c>
      <c r="L50" t="n">
        <v>82.3</v>
      </c>
      <c r="M50" t="n">
        <v>17.7</v>
      </c>
      <c r="N50" t="n">
        <v>1.89</v>
      </c>
      <c r="O50" t="n">
        <v>2.69</v>
      </c>
    </row>
    <row r="51">
      <c r="A51" t="inlineStr">
        <is>
          <t>PBI</t>
        </is>
      </c>
      <c r="B51" t="inlineStr">
        <is>
          <t>President Donald J. Trump International Airport</t>
        </is>
      </c>
      <c r="C51" t="inlineStr">
        <is>
          <t>West Palm Beach/Palm Beach, FL</t>
        </is>
      </c>
      <c r="D51" t="inlineStr">
        <is>
          <t>FL</t>
        </is>
      </c>
      <c r="E51" t="n">
        <v>26.683201</v>
      </c>
      <c r="F51" t="n">
        <v>-80.095596</v>
      </c>
      <c r="G51" t="n">
        <v>11636</v>
      </c>
      <c r="H51" t="n">
        <v>178</v>
      </c>
      <c r="I51" t="n">
        <v>31</v>
      </c>
      <c r="J51" t="n">
        <v>11427</v>
      </c>
      <c r="K51" t="n">
        <v>2569</v>
      </c>
      <c r="L51" t="n">
        <v>77.5</v>
      </c>
      <c r="M51" t="n">
        <v>22.5</v>
      </c>
      <c r="N51" t="n">
        <v>1.53</v>
      </c>
      <c r="O51" t="n">
        <v>11.07</v>
      </c>
    </row>
    <row r="52">
      <c r="A52" t="inlineStr">
        <is>
          <t>SJU</t>
        </is>
      </c>
      <c r="B52" t="inlineStr">
        <is>
          <t>Luis Munoz Marin International Airport</t>
        </is>
      </c>
      <c r="C52" t="inlineStr">
        <is>
          <t>San Juan, PR</t>
        </is>
      </c>
      <c r="D52" t="inlineStr">
        <is>
          <t>PR</t>
        </is>
      </c>
      <c r="E52" t="n">
        <v>18.4394</v>
      </c>
      <c r="F52" t="n">
        <v>-66.001801</v>
      </c>
      <c r="G52" t="n">
        <v>11583</v>
      </c>
      <c r="H52" t="n">
        <v>118</v>
      </c>
      <c r="I52" t="n">
        <v>52</v>
      </c>
      <c r="J52" t="n">
        <v>11413</v>
      </c>
      <c r="K52" t="n">
        <v>3138</v>
      </c>
      <c r="L52" t="n">
        <v>72.5</v>
      </c>
      <c r="M52" t="n">
        <v>27.5</v>
      </c>
      <c r="N52" t="n">
        <v>1.02</v>
      </c>
      <c r="O52" t="n">
        <v>16.5</v>
      </c>
    </row>
    <row r="53">
      <c r="A53" t="inlineStr">
        <is>
          <t>JAX</t>
        </is>
      </c>
      <c r="B53" t="inlineStr">
        <is>
          <t>Jacksonville International Airport</t>
        </is>
      </c>
      <c r="C53" t="inlineStr">
        <is>
          <t>Jacksonville, FL</t>
        </is>
      </c>
      <c r="D53" t="inlineStr">
        <is>
          <t>FL</t>
        </is>
      </c>
      <c r="E53" t="n">
        <v>30.492469</v>
      </c>
      <c r="F53" t="n">
        <v>-81.68781300000001</v>
      </c>
      <c r="G53" t="n">
        <v>9719</v>
      </c>
      <c r="H53" t="n">
        <v>93</v>
      </c>
      <c r="I53" t="n">
        <v>18</v>
      </c>
      <c r="J53" t="n">
        <v>9608</v>
      </c>
      <c r="K53" t="n">
        <v>1706</v>
      </c>
      <c r="L53" t="n">
        <v>82.2</v>
      </c>
      <c r="M53" t="n">
        <v>17.8</v>
      </c>
      <c r="N53" t="n">
        <v>0.96</v>
      </c>
      <c r="O53" t="n">
        <v>5.34</v>
      </c>
    </row>
    <row r="54">
      <c r="A54" t="inlineStr">
        <is>
          <t>MKE</t>
        </is>
      </c>
      <c r="B54" t="inlineStr">
        <is>
          <t>General Mitchell International Airport</t>
        </is>
      </c>
      <c r="C54" t="inlineStr">
        <is>
          <t>Milwaukee, WI</t>
        </is>
      </c>
      <c r="D54" t="inlineStr">
        <is>
          <t>WI</t>
        </is>
      </c>
      <c r="E54" t="n">
        <v>42.947201</v>
      </c>
      <c r="F54" t="n">
        <v>-87.89659899999999</v>
      </c>
      <c r="G54" t="n">
        <v>9252</v>
      </c>
      <c r="H54" t="n">
        <v>188</v>
      </c>
      <c r="I54" t="n">
        <v>11</v>
      </c>
      <c r="J54" t="n">
        <v>9053</v>
      </c>
      <c r="K54" t="n">
        <v>1680</v>
      </c>
      <c r="L54" t="n">
        <v>81.40000000000001</v>
      </c>
      <c r="M54" t="n">
        <v>18.6</v>
      </c>
      <c r="N54" t="n">
        <v>2.03</v>
      </c>
      <c r="O54" t="n">
        <v>5.16</v>
      </c>
    </row>
    <row r="55">
      <c r="A55" t="inlineStr">
        <is>
          <t>BUR</t>
        </is>
      </c>
      <c r="B55" t="inlineStr">
        <is>
          <t>Hollywood Burbank/Bob Hope Airport</t>
        </is>
      </c>
      <c r="C55" t="inlineStr">
        <is>
          <t>Burbank, CA</t>
        </is>
      </c>
      <c r="D55" t="inlineStr">
        <is>
          <t>CA</t>
        </is>
      </c>
      <c r="E55" t="n">
        <v>34.202834</v>
      </c>
      <c r="F55" t="n">
        <v>-118.35805</v>
      </c>
      <c r="G55" t="n">
        <v>8889</v>
      </c>
      <c r="H55" t="n">
        <v>150</v>
      </c>
      <c r="I55" t="n">
        <v>30</v>
      </c>
      <c r="J55" t="n">
        <v>8709</v>
      </c>
      <c r="K55" t="n">
        <v>1623</v>
      </c>
      <c r="L55" t="n">
        <v>81.40000000000001</v>
      </c>
      <c r="M55" t="n">
        <v>18.6</v>
      </c>
      <c r="N55" t="n">
        <v>1.69</v>
      </c>
      <c r="O55" t="n">
        <v>4.68</v>
      </c>
    </row>
    <row r="56">
      <c r="A56" t="inlineStr">
        <is>
          <t>OGG</t>
        </is>
      </c>
      <c r="B56" t="inlineStr">
        <is>
          <t>Kahului International Airport</t>
        </is>
      </c>
      <c r="C56" t="inlineStr">
        <is>
          <t>Kahului, HI</t>
        </is>
      </c>
      <c r="D56" t="inlineStr">
        <is>
          <t>HI</t>
        </is>
      </c>
      <c r="E56" t="n">
        <v>20.896263</v>
      </c>
      <c r="F56" t="n">
        <v>-156.431837</v>
      </c>
      <c r="G56" t="n">
        <v>8787</v>
      </c>
      <c r="H56" t="n">
        <v>142</v>
      </c>
      <c r="I56" t="n">
        <v>27</v>
      </c>
      <c r="J56" t="n">
        <v>8618</v>
      </c>
      <c r="K56" t="n">
        <v>1213</v>
      </c>
      <c r="L56" t="n">
        <v>85.90000000000001</v>
      </c>
      <c r="M56" t="n">
        <v>14.1</v>
      </c>
      <c r="N56" t="n">
        <v>1.62</v>
      </c>
      <c r="O56" t="n">
        <v>-0.54</v>
      </c>
    </row>
    <row r="57">
      <c r="A57" t="inlineStr">
        <is>
          <t>ONT</t>
        </is>
      </c>
      <c r="B57" t="inlineStr">
        <is>
          <t>Ontario International Airport</t>
        </is>
      </c>
      <c r="C57" t="inlineStr">
        <is>
          <t>Ontario, CA</t>
        </is>
      </c>
      <c r="D57" t="inlineStr">
        <is>
          <t>CA</t>
        </is>
      </c>
      <c r="E57" t="n">
        <v>34.056</v>
      </c>
      <c r="F57" t="n">
        <v>-117.600998</v>
      </c>
      <c r="G57" t="n">
        <v>7739</v>
      </c>
      <c r="H57" t="n">
        <v>71</v>
      </c>
      <c r="I57" t="n">
        <v>7</v>
      </c>
      <c r="J57" t="n">
        <v>7661</v>
      </c>
      <c r="K57" t="n">
        <v>1235</v>
      </c>
      <c r="L57" t="n">
        <v>83.90000000000001</v>
      </c>
      <c r="M57" t="n">
        <v>16.1</v>
      </c>
      <c r="N57" t="n">
        <v>0.92</v>
      </c>
      <c r="O57" t="n">
        <v>3.67</v>
      </c>
    </row>
    <row r="58">
      <c r="A58" t="inlineStr">
        <is>
          <t>CHS</t>
        </is>
      </c>
      <c r="B58" t="inlineStr">
        <is>
          <t>Charleston International Airport</t>
        </is>
      </c>
      <c r="C58" t="inlineStr">
        <is>
          <t>Charleston, SC</t>
        </is>
      </c>
      <c r="D58" t="inlineStr">
        <is>
          <t>SC</t>
        </is>
      </c>
      <c r="E58" t="n">
        <v>32.896159</v>
      </c>
      <c r="F58" t="n">
        <v>-80.038151</v>
      </c>
      <c r="G58" t="n">
        <v>7718</v>
      </c>
      <c r="H58" t="n">
        <v>85</v>
      </c>
      <c r="I58" t="n">
        <v>11</v>
      </c>
      <c r="J58" t="n">
        <v>7622</v>
      </c>
      <c r="K58" t="n">
        <v>1288</v>
      </c>
      <c r="L58" t="n">
        <v>83.09999999999999</v>
      </c>
      <c r="M58" t="n">
        <v>16.9</v>
      </c>
      <c r="N58" t="n">
        <v>1.1</v>
      </c>
      <c r="O58" t="n">
        <v>5.45</v>
      </c>
    </row>
    <row r="59">
      <c r="A59" t="inlineStr">
        <is>
          <t>OMA</t>
        </is>
      </c>
      <c r="B59" t="inlineStr">
        <is>
          <t>Eppley Airfield</t>
        </is>
      </c>
      <c r="C59" t="inlineStr">
        <is>
          <t>Omaha, NE</t>
        </is>
      </c>
      <c r="D59" t="inlineStr">
        <is>
          <t>NE</t>
        </is>
      </c>
      <c r="E59" t="n">
        <v>41.3032</v>
      </c>
      <c r="F59" t="n">
        <v>-95.894096</v>
      </c>
      <c r="G59" t="n">
        <v>7628</v>
      </c>
      <c r="H59" t="n">
        <v>133</v>
      </c>
      <c r="I59" t="n">
        <v>10</v>
      </c>
      <c r="J59" t="n">
        <v>7485</v>
      </c>
      <c r="K59" t="n">
        <v>1353</v>
      </c>
      <c r="L59" t="n">
        <v>81.90000000000001</v>
      </c>
      <c r="M59" t="n">
        <v>18.1</v>
      </c>
      <c r="N59" t="n">
        <v>1.74</v>
      </c>
      <c r="O59" t="n">
        <v>5.81</v>
      </c>
    </row>
    <row r="60">
      <c r="A60" t="inlineStr">
        <is>
          <t>SDF</t>
        </is>
      </c>
      <c r="B60" t="inlineStr">
        <is>
          <t>Louisville Muhammad Ali International Airport</t>
        </is>
      </c>
      <c r="C60" t="inlineStr">
        <is>
          <t>Louisville, KY</t>
        </is>
      </c>
      <c r="D60" t="inlineStr">
        <is>
          <t>KY</t>
        </is>
      </c>
      <c r="E60" t="n">
        <v>38.1706</v>
      </c>
      <c r="F60" t="n">
        <v>-85.73507600000001</v>
      </c>
      <c r="G60" t="n">
        <v>7512</v>
      </c>
      <c r="H60" t="n">
        <v>63</v>
      </c>
      <c r="I60" t="n">
        <v>10</v>
      </c>
      <c r="J60" t="n">
        <v>7439</v>
      </c>
      <c r="K60" t="n">
        <v>1270</v>
      </c>
      <c r="L60" t="n">
        <v>82.90000000000001</v>
      </c>
      <c r="M60" t="n">
        <v>17.1</v>
      </c>
      <c r="N60" t="n">
        <v>0.84</v>
      </c>
      <c r="O60" t="n">
        <v>2.63</v>
      </c>
    </row>
    <row r="61">
      <c r="A61" t="inlineStr">
        <is>
          <t>ABQ</t>
        </is>
      </c>
      <c r="B61" t="inlineStr">
        <is>
          <t>Albuquerque International Sunport</t>
        </is>
      </c>
      <c r="C61" t="inlineStr">
        <is>
          <t>Albuquerque, NM</t>
        </is>
      </c>
      <c r="D61" t="inlineStr">
        <is>
          <t>NM</t>
        </is>
      </c>
      <c r="E61" t="n">
        <v>35.039976</v>
      </c>
      <c r="F61" t="n">
        <v>-106.608925</v>
      </c>
      <c r="G61" t="n">
        <v>7233</v>
      </c>
      <c r="H61" t="n">
        <v>57</v>
      </c>
      <c r="I61" t="n">
        <v>10</v>
      </c>
      <c r="J61" t="n">
        <v>7166</v>
      </c>
      <c r="K61" t="n">
        <v>1269</v>
      </c>
      <c r="L61" t="n">
        <v>82.3</v>
      </c>
      <c r="M61" t="n">
        <v>17.7</v>
      </c>
      <c r="N61" t="n">
        <v>0.79</v>
      </c>
      <c r="O61" t="n">
        <v>4.69</v>
      </c>
    </row>
    <row r="62">
      <c r="A62" t="inlineStr">
        <is>
          <t>OKC</t>
        </is>
      </c>
      <c r="B62" t="inlineStr">
        <is>
          <t>OKC Will Rogers World Airport</t>
        </is>
      </c>
      <c r="C62" t="inlineStr">
        <is>
          <t>Oklahoma City, OK</t>
        </is>
      </c>
      <c r="D62" t="inlineStr">
        <is>
          <t>OK</t>
        </is>
      </c>
      <c r="E62" t="n">
        <v>35.393388</v>
      </c>
      <c r="F62" t="n">
        <v>-97.598248</v>
      </c>
      <c r="G62" t="n">
        <v>6988</v>
      </c>
      <c r="H62" t="n">
        <v>104</v>
      </c>
      <c r="I62" t="n">
        <v>14</v>
      </c>
      <c r="J62" t="n">
        <v>6870</v>
      </c>
      <c r="K62" t="n">
        <v>1125</v>
      </c>
      <c r="L62" t="n">
        <v>83.59999999999999</v>
      </c>
      <c r="M62" t="n">
        <v>16.4</v>
      </c>
      <c r="N62" t="n">
        <v>1.49</v>
      </c>
      <c r="O62" t="n">
        <v>2.88</v>
      </c>
    </row>
    <row r="63">
      <c r="A63" t="inlineStr">
        <is>
          <t>BDL</t>
        </is>
      </c>
      <c r="B63" t="inlineStr">
        <is>
          <t>Bradley International Airport</t>
        </is>
      </c>
      <c r="C63" t="inlineStr">
        <is>
          <t>Hartford, CT</t>
        </is>
      </c>
      <c r="D63" t="inlineStr">
        <is>
          <t>CT</t>
        </is>
      </c>
      <c r="E63" t="n">
        <v>41.938555</v>
      </c>
      <c r="F63" t="n">
        <v>-72.688016</v>
      </c>
      <c r="G63" t="n">
        <v>6922</v>
      </c>
      <c r="H63" t="n">
        <v>97</v>
      </c>
      <c r="I63" t="n">
        <v>12</v>
      </c>
      <c r="J63" t="n">
        <v>6813</v>
      </c>
      <c r="K63" t="n">
        <v>1316</v>
      </c>
      <c r="L63" t="n">
        <v>80.7</v>
      </c>
      <c r="M63" t="n">
        <v>19.3</v>
      </c>
      <c r="N63" t="n">
        <v>1.4</v>
      </c>
      <c r="O63" t="n">
        <v>5.73</v>
      </c>
    </row>
    <row r="64">
      <c r="A64" t="inlineStr">
        <is>
          <t>MEM</t>
        </is>
      </c>
      <c r="B64" t="inlineStr">
        <is>
          <t>Frederick W. Smith International Airport</t>
        </is>
      </c>
      <c r="C64" t="inlineStr">
        <is>
          <t>Memphis, TN</t>
        </is>
      </c>
      <c r="D64" t="inlineStr">
        <is>
          <t>TN</t>
        </is>
      </c>
      <c r="E64" t="n">
        <v>35.043845</v>
      </c>
      <c r="F64" t="n">
        <v>-89.97633999999999</v>
      </c>
      <c r="G64" t="n">
        <v>6916</v>
      </c>
      <c r="H64" t="n">
        <v>89</v>
      </c>
      <c r="I64" t="n">
        <v>13</v>
      </c>
      <c r="J64" t="n">
        <v>6814</v>
      </c>
      <c r="K64" t="n">
        <v>1097</v>
      </c>
      <c r="L64" t="n">
        <v>83.90000000000001</v>
      </c>
      <c r="M64" t="n">
        <v>16.1</v>
      </c>
      <c r="N64" t="n">
        <v>1.29</v>
      </c>
      <c r="O64" t="n">
        <v>3.77</v>
      </c>
    </row>
    <row r="65">
      <c r="A65" t="inlineStr">
        <is>
          <t>BUF</t>
        </is>
      </c>
      <c r="B65" t="inlineStr">
        <is>
          <t>Buffalo Niagara International Airport</t>
        </is>
      </c>
      <c r="C65" t="inlineStr">
        <is>
          <t>Buffalo, NY</t>
        </is>
      </c>
      <c r="D65" t="inlineStr">
        <is>
          <t>NY</t>
        </is>
      </c>
      <c r="E65" t="n">
        <v>42.940498</v>
      </c>
      <c r="F65" t="n">
        <v>-78.732201</v>
      </c>
      <c r="G65" t="n">
        <v>6775</v>
      </c>
      <c r="H65" t="n">
        <v>265</v>
      </c>
      <c r="I65" t="n">
        <v>10</v>
      </c>
      <c r="J65" t="n">
        <v>6500</v>
      </c>
      <c r="K65" t="n">
        <v>1206</v>
      </c>
      <c r="L65" t="n">
        <v>81.5</v>
      </c>
      <c r="M65" t="n">
        <v>18.6</v>
      </c>
      <c r="N65" t="n">
        <v>3.91</v>
      </c>
      <c r="O65" t="n">
        <v>3.98</v>
      </c>
    </row>
    <row r="66">
      <c r="A66" t="inlineStr">
        <is>
          <t>SRQ</t>
        </is>
      </c>
      <c r="B66" t="inlineStr">
        <is>
          <t>Sarasota Bradenton International Airport</t>
        </is>
      </c>
      <c r="C66" t="inlineStr">
        <is>
          <t>Sarasota/Bradenton, FL</t>
        </is>
      </c>
      <c r="D66" t="inlineStr">
        <is>
          <t>FL</t>
        </is>
      </c>
      <c r="E66" t="n">
        <v>27.394631</v>
      </c>
      <c r="F66" t="n">
        <v>-82.55435900000001</v>
      </c>
      <c r="G66" t="n">
        <v>6654</v>
      </c>
      <c r="H66" t="n">
        <v>84</v>
      </c>
      <c r="I66" t="n">
        <v>18</v>
      </c>
      <c r="J66" t="n">
        <v>6552</v>
      </c>
      <c r="K66" t="n">
        <v>1211</v>
      </c>
      <c r="L66" t="n">
        <v>81.5</v>
      </c>
      <c r="M66" t="n">
        <v>18.5</v>
      </c>
      <c r="N66" t="n">
        <v>1.26</v>
      </c>
      <c r="O66" t="n">
        <v>7.86</v>
      </c>
    </row>
    <row r="67">
      <c r="A67" t="inlineStr">
        <is>
          <t>BOI</t>
        </is>
      </c>
      <c r="B67" t="inlineStr">
        <is>
          <t>Boise Air Terminal/Gowen Field</t>
        </is>
      </c>
      <c r="C67" t="inlineStr">
        <is>
          <t>Boise, ID</t>
        </is>
      </c>
      <c r="D67" t="inlineStr">
        <is>
          <t>ID</t>
        </is>
      </c>
      <c r="E67" t="n">
        <v>43.5644</v>
      </c>
      <c r="F67" t="n">
        <v>-116.223</v>
      </c>
      <c r="G67" t="n">
        <v>6587</v>
      </c>
      <c r="H67" t="n">
        <v>44</v>
      </c>
      <c r="I67" t="n">
        <v>9</v>
      </c>
      <c r="J67" t="n">
        <v>6534</v>
      </c>
      <c r="K67" t="n">
        <v>1149</v>
      </c>
      <c r="L67" t="n">
        <v>82.40000000000001</v>
      </c>
      <c r="M67" t="n">
        <v>17.6</v>
      </c>
      <c r="N67" t="n">
        <v>0.67</v>
      </c>
      <c r="O67" t="n">
        <v>3.86</v>
      </c>
    </row>
    <row r="68">
      <c r="A68" t="inlineStr">
        <is>
          <t>TUS</t>
        </is>
      </c>
      <c r="B68" t="inlineStr">
        <is>
          <t>Tucson International Airport</t>
        </is>
      </c>
      <c r="C68" t="inlineStr">
        <is>
          <t>Tucson, AZ</t>
        </is>
      </c>
      <c r="D68" t="inlineStr">
        <is>
          <t>AZ</t>
        </is>
      </c>
      <c r="E68" t="n">
        <v>32.115004</v>
      </c>
      <c r="F68" t="n">
        <v>-110.938053</v>
      </c>
      <c r="G68" t="n">
        <v>6444</v>
      </c>
      <c r="H68" t="n">
        <v>40</v>
      </c>
      <c r="I68" t="n">
        <v>5</v>
      </c>
      <c r="J68" t="n">
        <v>6399</v>
      </c>
      <c r="K68" t="n">
        <v>1083</v>
      </c>
      <c r="L68" t="n">
        <v>83.09999999999999</v>
      </c>
      <c r="M68" t="n">
        <v>16.9</v>
      </c>
      <c r="N68" t="n">
        <v>0.62</v>
      </c>
      <c r="O68" t="n">
        <v>4.66</v>
      </c>
    </row>
    <row r="69">
      <c r="A69" t="inlineStr">
        <is>
          <t>RNO</t>
        </is>
      </c>
      <c r="B69" t="inlineStr">
        <is>
          <t>Reno Tahoe International Airport</t>
        </is>
      </c>
      <c r="C69" t="inlineStr">
        <is>
          <t>Reno, NV</t>
        </is>
      </c>
      <c r="D69" t="inlineStr">
        <is>
          <t>NV</t>
        </is>
      </c>
      <c r="E69" t="n">
        <v>39.4991</v>
      </c>
      <c r="F69" t="n">
        <v>-119.767998</v>
      </c>
      <c r="G69" t="n">
        <v>6310</v>
      </c>
      <c r="H69" t="n">
        <v>68</v>
      </c>
      <c r="I69" t="n">
        <v>11</v>
      </c>
      <c r="J69" t="n">
        <v>6231</v>
      </c>
      <c r="K69" t="n">
        <v>1212</v>
      </c>
      <c r="L69" t="n">
        <v>80.59999999999999</v>
      </c>
      <c r="M69" t="n">
        <v>19.5</v>
      </c>
      <c r="N69" t="n">
        <v>1.08</v>
      </c>
      <c r="O69" t="n">
        <v>8.25</v>
      </c>
    </row>
    <row r="70">
      <c r="A70" t="inlineStr">
        <is>
          <t>GRR</t>
        </is>
      </c>
      <c r="B70" t="inlineStr">
        <is>
          <t>Gerald R. Ford International Airport</t>
        </is>
      </c>
      <c r="C70" t="inlineStr">
        <is>
          <t>Grand Rapids, MI</t>
        </is>
      </c>
      <c r="D70" t="inlineStr">
        <is>
          <t>MI</t>
        </is>
      </c>
      <c r="E70" t="n">
        <v>42.880798</v>
      </c>
      <c r="F70" t="n">
        <v>-85.522797</v>
      </c>
      <c r="G70" t="n">
        <v>6272</v>
      </c>
      <c r="H70" t="n">
        <v>117</v>
      </c>
      <c r="I70" t="n">
        <v>5</v>
      </c>
      <c r="J70" t="n">
        <v>6150</v>
      </c>
      <c r="K70" t="n">
        <v>1149</v>
      </c>
      <c r="L70" t="n">
        <v>81.3</v>
      </c>
      <c r="M70" t="n">
        <v>18.7</v>
      </c>
      <c r="N70" t="n">
        <v>1.87</v>
      </c>
      <c r="O70" t="n">
        <v>4.11</v>
      </c>
    </row>
    <row r="71">
      <c r="A71" t="inlineStr">
        <is>
          <t>ORF</t>
        </is>
      </c>
      <c r="B71" t="inlineStr">
        <is>
          <t>Norfolk International Airport</t>
        </is>
      </c>
      <c r="C71" t="inlineStr">
        <is>
          <t>Norfolk, VA</t>
        </is>
      </c>
      <c r="D71" t="inlineStr">
        <is>
          <t>VA</t>
        </is>
      </c>
      <c r="E71" t="n">
        <v>36.895341</v>
      </c>
      <c r="F71" t="n">
        <v>-76.20099999999999</v>
      </c>
      <c r="G71" t="n">
        <v>6226</v>
      </c>
      <c r="H71" t="n">
        <v>67</v>
      </c>
      <c r="I71" t="n">
        <v>16</v>
      </c>
      <c r="J71" t="n">
        <v>6143</v>
      </c>
      <c r="K71" t="n">
        <v>1053</v>
      </c>
      <c r="L71" t="n">
        <v>82.90000000000001</v>
      </c>
      <c r="M71" t="n">
        <v>17.1</v>
      </c>
      <c r="N71" t="n">
        <v>1.08</v>
      </c>
      <c r="O71" t="n">
        <v>3.17</v>
      </c>
    </row>
    <row r="72">
      <c r="A72" t="inlineStr">
        <is>
          <t>PSP</t>
        </is>
      </c>
      <c r="B72" t="inlineStr">
        <is>
          <t>Palm Springs International Airport</t>
        </is>
      </c>
      <c r="C72" t="inlineStr">
        <is>
          <t>Palm Springs, CA</t>
        </is>
      </c>
      <c r="D72" t="inlineStr">
        <is>
          <t>CA</t>
        </is>
      </c>
      <c r="E72" t="n">
        <v>33.8297</v>
      </c>
      <c r="F72" t="n">
        <v>-116.507004</v>
      </c>
      <c r="G72" t="n">
        <v>6204</v>
      </c>
      <c r="H72" t="n">
        <v>102</v>
      </c>
      <c r="I72" t="n">
        <v>16</v>
      </c>
      <c r="J72" t="n">
        <v>6086</v>
      </c>
      <c r="K72" t="n">
        <v>1279</v>
      </c>
      <c r="L72" t="n">
        <v>79</v>
      </c>
      <c r="M72" t="n">
        <v>21</v>
      </c>
      <c r="N72" t="n">
        <v>1.64</v>
      </c>
      <c r="O72" t="n">
        <v>7.34</v>
      </c>
    </row>
    <row r="73">
      <c r="A73" t="inlineStr">
        <is>
          <t>SAV</t>
        </is>
      </c>
      <c r="B73" t="inlineStr">
        <is>
          <t>Savannah Hilton Head International Airport</t>
        </is>
      </c>
      <c r="C73" t="inlineStr">
        <is>
          <t>Savannah, GA</t>
        </is>
      </c>
      <c r="D73" t="inlineStr">
        <is>
          <t>GA</t>
        </is>
      </c>
      <c r="E73" t="n">
        <v>32.126591</v>
      </c>
      <c r="F73" t="n">
        <v>-81.19998</v>
      </c>
      <c r="G73" t="n">
        <v>5881</v>
      </c>
      <c r="H73" t="n">
        <v>44</v>
      </c>
      <c r="I73" t="n">
        <v>14</v>
      </c>
      <c r="J73" t="n">
        <v>5823</v>
      </c>
      <c r="K73" t="n">
        <v>889</v>
      </c>
      <c r="L73" t="n">
        <v>84.7</v>
      </c>
      <c r="M73" t="n">
        <v>15.3</v>
      </c>
      <c r="N73" t="n">
        <v>0.75</v>
      </c>
      <c r="O73" t="n">
        <v>2.65</v>
      </c>
    </row>
    <row r="74">
      <c r="A74" t="inlineStr">
        <is>
          <t>LGB</t>
        </is>
      </c>
      <c r="B74" t="inlineStr">
        <is>
          <t>Long Beach International Airport</t>
        </is>
      </c>
      <c r="C74" t="inlineStr">
        <is>
          <t>Long Beach, CA</t>
        </is>
      </c>
      <c r="D74" t="inlineStr">
        <is>
          <t>CA</t>
        </is>
      </c>
      <c r="E74" t="n">
        <v>33.816523</v>
      </c>
      <c r="F74" t="n">
        <v>-118.149891</v>
      </c>
      <c r="G74" t="n">
        <v>5857</v>
      </c>
      <c r="H74" t="n">
        <v>47</v>
      </c>
      <c r="I74" t="n">
        <v>14</v>
      </c>
      <c r="J74" t="n">
        <v>5796</v>
      </c>
      <c r="K74" t="n">
        <v>894</v>
      </c>
      <c r="L74" t="n">
        <v>84.59999999999999</v>
      </c>
      <c r="M74" t="n">
        <v>15.4</v>
      </c>
      <c r="N74" t="n">
        <v>0.8</v>
      </c>
      <c r="O74" t="n">
        <v>0.93</v>
      </c>
    </row>
    <row r="75">
      <c r="A75" t="inlineStr">
        <is>
          <t>RIC</t>
        </is>
      </c>
      <c r="B75" t="inlineStr">
        <is>
          <t>Richmond International Airport</t>
        </is>
      </c>
      <c r="C75" t="inlineStr">
        <is>
          <t>Richmond, VA</t>
        </is>
      </c>
      <c r="D75" t="inlineStr">
        <is>
          <t>VA</t>
        </is>
      </c>
      <c r="E75" t="n">
        <v>37.505199</v>
      </c>
      <c r="F75" t="n">
        <v>-77.31970200000001</v>
      </c>
      <c r="G75" t="n">
        <v>5637</v>
      </c>
      <c r="H75" t="n">
        <v>51</v>
      </c>
      <c r="I75" t="n">
        <v>12</v>
      </c>
      <c r="J75" t="n">
        <v>5574</v>
      </c>
      <c r="K75" t="n">
        <v>1114</v>
      </c>
      <c r="L75" t="n">
        <v>80</v>
      </c>
      <c r="M75" t="n">
        <v>20</v>
      </c>
      <c r="N75" t="n">
        <v>0.9</v>
      </c>
      <c r="O75" t="n">
        <v>6.89</v>
      </c>
    </row>
    <row r="76">
      <c r="A76" t="inlineStr">
        <is>
          <t>GEG</t>
        </is>
      </c>
      <c r="B76" t="inlineStr">
        <is>
          <t>Spokane International Airport</t>
        </is>
      </c>
      <c r="C76" t="inlineStr">
        <is>
          <t>Spokane, WA</t>
        </is>
      </c>
      <c r="D76" t="inlineStr">
        <is>
          <t>WA</t>
        </is>
      </c>
      <c r="E76" t="n">
        <v>47.6199</v>
      </c>
      <c r="F76" t="n">
        <v>-117.533997</v>
      </c>
      <c r="G76" t="n">
        <v>5363</v>
      </c>
      <c r="H76" t="n">
        <v>62</v>
      </c>
      <c r="I76" t="n">
        <v>5</v>
      </c>
      <c r="J76" t="n">
        <v>5296</v>
      </c>
      <c r="K76" t="n">
        <v>792</v>
      </c>
      <c r="L76" t="n">
        <v>85.09999999999999</v>
      </c>
      <c r="M76" t="n">
        <v>15</v>
      </c>
      <c r="N76" t="n">
        <v>1.16</v>
      </c>
      <c r="O76" t="n">
        <v>1.63</v>
      </c>
    </row>
    <row r="77">
      <c r="A77" t="inlineStr">
        <is>
          <t>KOA</t>
        </is>
      </c>
      <c r="B77" t="inlineStr">
        <is>
          <t>Ellison Onizuka Kona International Airport at Keāhole</t>
        </is>
      </c>
      <c r="C77" t="inlineStr">
        <is>
          <t>Kona, HI</t>
        </is>
      </c>
      <c r="D77" t="inlineStr">
        <is>
          <t>HI</t>
        </is>
      </c>
      <c r="E77" t="n">
        <v>19.738783</v>
      </c>
      <c r="F77" t="n">
        <v>-156.045603</v>
      </c>
      <c r="G77" t="n">
        <v>5360</v>
      </c>
      <c r="H77" t="n">
        <v>107</v>
      </c>
      <c r="I77" t="n">
        <v>7</v>
      </c>
      <c r="J77" t="n">
        <v>5246</v>
      </c>
      <c r="K77" t="n">
        <v>703</v>
      </c>
      <c r="L77" t="n">
        <v>86.59999999999999</v>
      </c>
      <c r="M77" t="n">
        <v>13.4</v>
      </c>
      <c r="N77" t="n">
        <v>2</v>
      </c>
      <c r="O77" t="n">
        <v>1.57</v>
      </c>
    </row>
    <row r="78">
      <c r="A78" t="inlineStr">
        <is>
          <t>BHM</t>
        </is>
      </c>
      <c r="B78" t="inlineStr">
        <is>
          <t>Birmingham-Shuttlesworth International Airport</t>
        </is>
      </c>
      <c r="C78" t="inlineStr">
        <is>
          <t>Birmingham, AL</t>
        </is>
      </c>
      <c r="D78" t="inlineStr">
        <is>
          <t>AL</t>
        </is>
      </c>
      <c r="E78" t="n">
        <v>33.562877</v>
      </c>
      <c r="F78" t="n">
        <v>-86.75071199999999</v>
      </c>
      <c r="G78" t="n">
        <v>5334</v>
      </c>
      <c r="H78" t="n">
        <v>68</v>
      </c>
      <c r="I78" t="n">
        <v>9</v>
      </c>
      <c r="J78" t="n">
        <v>5257</v>
      </c>
      <c r="K78" t="n">
        <v>865</v>
      </c>
      <c r="L78" t="n">
        <v>83.59999999999999</v>
      </c>
      <c r="M78" t="n">
        <v>16.5</v>
      </c>
      <c r="N78" t="n">
        <v>1.27</v>
      </c>
      <c r="O78" t="n">
        <v>3.71</v>
      </c>
    </row>
    <row r="79">
      <c r="A79" t="inlineStr">
        <is>
          <t>ELP</t>
        </is>
      </c>
      <c r="B79" t="inlineStr">
        <is>
          <t>El Paso International Airport</t>
        </is>
      </c>
      <c r="C79" t="inlineStr">
        <is>
          <t>El Paso, TX</t>
        </is>
      </c>
      <c r="D79" t="inlineStr">
        <is>
          <t>TX</t>
        </is>
      </c>
      <c r="E79" t="n">
        <v>31.809908</v>
      </c>
      <c r="F79" t="n">
        <v>-106.375607</v>
      </c>
      <c r="G79" t="n">
        <v>5195</v>
      </c>
      <c r="H79" t="n">
        <v>42</v>
      </c>
      <c r="I79" t="n">
        <v>14</v>
      </c>
      <c r="J79" t="n">
        <v>5139</v>
      </c>
      <c r="K79" t="n">
        <v>847</v>
      </c>
      <c r="L79" t="n">
        <v>83.5</v>
      </c>
      <c r="M79" t="n">
        <v>16.5</v>
      </c>
      <c r="N79" t="n">
        <v>0.8100000000000001</v>
      </c>
      <c r="O79" t="n">
        <v>5.15</v>
      </c>
    </row>
    <row r="80">
      <c r="A80" t="inlineStr">
        <is>
          <t>LIH</t>
        </is>
      </c>
      <c r="B80" t="inlineStr">
        <is>
          <t>Lihue Airport</t>
        </is>
      </c>
      <c r="C80" t="inlineStr">
        <is>
          <t>Lihue, HI</t>
        </is>
      </c>
      <c r="D80" t="inlineStr">
        <is>
          <t>HI</t>
        </is>
      </c>
      <c r="E80" t="n">
        <v>21.974393</v>
      </c>
      <c r="F80" t="n">
        <v>-159.337146</v>
      </c>
      <c r="G80" t="n">
        <v>5168</v>
      </c>
      <c r="H80" t="n">
        <v>48</v>
      </c>
      <c r="I80" t="n">
        <v>6</v>
      </c>
      <c r="J80" t="n">
        <v>5114</v>
      </c>
      <c r="K80" t="n">
        <v>721</v>
      </c>
      <c r="L80" t="n">
        <v>85.90000000000001</v>
      </c>
      <c r="M80" t="n">
        <v>14.1</v>
      </c>
      <c r="N80" t="n">
        <v>0.93</v>
      </c>
      <c r="O80" t="n">
        <v>0.8100000000000001</v>
      </c>
    </row>
    <row r="81">
      <c r="A81" t="inlineStr">
        <is>
          <t>TUL</t>
        </is>
      </c>
      <c r="B81" t="inlineStr">
        <is>
          <t>Tulsa International Airport</t>
        </is>
      </c>
      <c r="C81" t="inlineStr">
        <is>
          <t>Tulsa, OK</t>
        </is>
      </c>
      <c r="D81" t="inlineStr">
        <is>
          <t>OK</t>
        </is>
      </c>
      <c r="E81" t="n">
        <v>36.197084</v>
      </c>
      <c r="F81" t="n">
        <v>-95.886225</v>
      </c>
      <c r="G81" t="n">
        <v>5057</v>
      </c>
      <c r="H81" t="n">
        <v>58</v>
      </c>
      <c r="I81" t="n">
        <v>4</v>
      </c>
      <c r="J81" t="n">
        <v>4995</v>
      </c>
      <c r="K81" t="n">
        <v>826</v>
      </c>
      <c r="L81" t="n">
        <v>83.5</v>
      </c>
      <c r="M81" t="n">
        <v>16.5</v>
      </c>
      <c r="N81" t="n">
        <v>1.15</v>
      </c>
      <c r="O81" t="n">
        <v>4.09</v>
      </c>
    </row>
    <row r="82">
      <c r="A82" t="inlineStr">
        <is>
          <t>DSM</t>
        </is>
      </c>
      <c r="B82" t="inlineStr">
        <is>
          <t>Des Moines International Airport</t>
        </is>
      </c>
      <c r="C82" t="inlineStr">
        <is>
          <t>Des Moines, IA</t>
        </is>
      </c>
      <c r="D82" t="inlineStr">
        <is>
          <t>IA</t>
        </is>
      </c>
      <c r="E82" t="n">
        <v>41.534027</v>
      </c>
      <c r="F82" t="n">
        <v>-93.656719</v>
      </c>
      <c r="G82" t="n">
        <v>5023</v>
      </c>
      <c r="H82" t="n">
        <v>119</v>
      </c>
      <c r="I82" t="n">
        <v>4</v>
      </c>
      <c r="J82" t="n">
        <v>4900</v>
      </c>
      <c r="K82" t="n">
        <v>922</v>
      </c>
      <c r="L82" t="n">
        <v>81.2</v>
      </c>
      <c r="M82" t="n">
        <v>18.8</v>
      </c>
      <c r="N82" t="n">
        <v>2.37</v>
      </c>
      <c r="O82" t="n">
        <v>9.99</v>
      </c>
    </row>
    <row r="83">
      <c r="A83" t="inlineStr">
        <is>
          <t>GSP</t>
        </is>
      </c>
      <c r="B83" t="inlineStr">
        <is>
          <t>Greenville-Spartanburg International Airport</t>
        </is>
      </c>
      <c r="C83" t="inlineStr">
        <is>
          <t>Greer, SC</t>
        </is>
      </c>
      <c r="D83" t="inlineStr">
        <is>
          <t>SC</t>
        </is>
      </c>
      <c r="E83" t="n">
        <v>34.895699</v>
      </c>
      <c r="F83" t="n">
        <v>-82.218903</v>
      </c>
      <c r="G83" t="n">
        <v>4967</v>
      </c>
      <c r="H83" t="n">
        <v>59</v>
      </c>
      <c r="I83" t="n">
        <v>7</v>
      </c>
      <c r="J83" t="n">
        <v>4901</v>
      </c>
      <c r="K83" t="n">
        <v>698</v>
      </c>
      <c r="L83" t="n">
        <v>85.8</v>
      </c>
      <c r="M83" t="n">
        <v>14.2</v>
      </c>
      <c r="N83" t="n">
        <v>1.19</v>
      </c>
      <c r="O83" t="n">
        <v>0.08</v>
      </c>
    </row>
    <row r="84">
      <c r="A84" t="inlineStr">
        <is>
          <t>ANC</t>
        </is>
      </c>
      <c r="B84" t="inlineStr">
        <is>
          <t>Ted Stevens Anchorage International Airport</t>
        </is>
      </c>
      <c r="C84" t="inlineStr">
        <is>
          <t>Anchorage, AK</t>
        </is>
      </c>
      <c r="D84" t="inlineStr">
        <is>
          <t>AK</t>
        </is>
      </c>
      <c r="E84" t="n">
        <v>61.179004</v>
      </c>
      <c r="F84" t="n">
        <v>-149.992561</v>
      </c>
      <c r="G84" t="n">
        <v>4825</v>
      </c>
      <c r="H84" t="n">
        <v>141</v>
      </c>
      <c r="I84" t="n">
        <v>14</v>
      </c>
      <c r="J84" t="n">
        <v>4670</v>
      </c>
      <c r="K84" t="n">
        <v>859</v>
      </c>
      <c r="L84" t="n">
        <v>81.59999999999999</v>
      </c>
      <c r="M84" t="n">
        <v>18.4</v>
      </c>
      <c r="N84" t="n">
        <v>2.92</v>
      </c>
      <c r="O84" t="n">
        <v>3.33</v>
      </c>
    </row>
    <row r="85">
      <c r="A85" t="inlineStr">
        <is>
          <t>TYS</t>
        </is>
      </c>
      <c r="B85" t="inlineStr">
        <is>
          <t>McGhee Tyson Airport</t>
        </is>
      </c>
      <c r="C85" t="inlineStr">
        <is>
          <t>Knoxville, TN</t>
        </is>
      </c>
      <c r="D85" t="inlineStr">
        <is>
          <t>TN</t>
        </is>
      </c>
      <c r="E85" t="n">
        <v>35.811001</v>
      </c>
      <c r="F85" t="n">
        <v>-83.99400300000001</v>
      </c>
      <c r="G85" t="n">
        <v>4551</v>
      </c>
      <c r="H85" t="n">
        <v>85</v>
      </c>
      <c r="I85" t="n">
        <v>12</v>
      </c>
      <c r="J85" t="n">
        <v>4454</v>
      </c>
      <c r="K85" t="n">
        <v>775</v>
      </c>
      <c r="L85" t="n">
        <v>82.59999999999999</v>
      </c>
      <c r="M85" t="n">
        <v>17.4</v>
      </c>
      <c r="N85" t="n">
        <v>1.87</v>
      </c>
      <c r="O85" t="n">
        <v>3.84</v>
      </c>
    </row>
    <row r="86">
      <c r="A86" t="inlineStr">
        <is>
          <t>SYR</t>
        </is>
      </c>
      <c r="B86" t="inlineStr">
        <is>
          <t>Syracuse Hancock International Airport</t>
        </is>
      </c>
      <c r="C86" t="inlineStr">
        <is>
          <t>Syracuse, NY</t>
        </is>
      </c>
      <c r="D86" t="inlineStr">
        <is>
          <t>NY</t>
        </is>
      </c>
      <c r="E86" t="n">
        <v>43.11119842529297</v>
      </c>
      <c r="F86" t="n">
        <v>-76.10630035400391</v>
      </c>
      <c r="G86" t="n">
        <v>4460</v>
      </c>
      <c r="H86" t="n">
        <v>51</v>
      </c>
      <c r="I86" t="n">
        <v>4</v>
      </c>
      <c r="J86" t="n">
        <v>4405</v>
      </c>
      <c r="K86" t="n">
        <v>712</v>
      </c>
      <c r="L86" t="n">
        <v>83.8</v>
      </c>
      <c r="M86" t="n">
        <v>16.2</v>
      </c>
      <c r="N86" t="n">
        <v>1.14</v>
      </c>
      <c r="O86" t="n">
        <v>-1.79</v>
      </c>
    </row>
    <row r="87">
      <c r="A87" t="inlineStr">
        <is>
          <t>HPN</t>
        </is>
      </c>
      <c r="B87" t="inlineStr">
        <is>
          <t>Westchester County Airport</t>
        </is>
      </c>
      <c r="C87" t="inlineStr">
        <is>
          <t>White Plains, NY</t>
        </is>
      </c>
      <c r="D87" t="inlineStr">
        <is>
          <t>NY</t>
        </is>
      </c>
      <c r="E87" t="n">
        <v>41.06700134277344</v>
      </c>
      <c r="F87" t="n">
        <v>-73.70760345458984</v>
      </c>
      <c r="G87" t="n">
        <v>4233</v>
      </c>
      <c r="H87" t="n">
        <v>74</v>
      </c>
      <c r="I87" t="n">
        <v>14</v>
      </c>
      <c r="J87" t="n">
        <v>4145</v>
      </c>
      <c r="K87" t="n">
        <v>829</v>
      </c>
      <c r="L87" t="n">
        <v>80</v>
      </c>
      <c r="M87" t="n">
        <v>20</v>
      </c>
      <c r="N87" t="n">
        <v>1.75</v>
      </c>
      <c r="O87" t="n">
        <v>6.74</v>
      </c>
    </row>
    <row r="88">
      <c r="A88" t="inlineStr">
        <is>
          <t>PVD</t>
        </is>
      </c>
      <c r="B88" t="inlineStr">
        <is>
          <t>Rhode Island T. F. Green International Airport</t>
        </is>
      </c>
      <c r="C88" t="inlineStr">
        <is>
          <t>Providence, RI</t>
        </is>
      </c>
      <c r="D88" t="inlineStr">
        <is>
          <t>RI</t>
        </is>
      </c>
      <c r="E88" t="n">
        <v>41.725038</v>
      </c>
      <c r="F88" t="n">
        <v>-71.425668</v>
      </c>
      <c r="G88" t="n">
        <v>4183</v>
      </c>
      <c r="H88" t="n">
        <v>67</v>
      </c>
      <c r="I88" t="n">
        <v>7</v>
      </c>
      <c r="J88" t="n">
        <v>4109</v>
      </c>
      <c r="K88" t="n">
        <v>641</v>
      </c>
      <c r="L88" t="n">
        <v>84.40000000000001</v>
      </c>
      <c r="M88" t="n">
        <v>15.6</v>
      </c>
      <c r="N88" t="n">
        <v>1.6</v>
      </c>
      <c r="O88" t="n">
        <v>1.84</v>
      </c>
    </row>
    <row r="89">
      <c r="A89" t="inlineStr">
        <is>
          <t>MYR</t>
        </is>
      </c>
      <c r="B89" t="inlineStr">
        <is>
          <t>Myrtle Beach International Airport</t>
        </is>
      </c>
      <c r="C89" t="inlineStr">
        <is>
          <t>Myrtle Beach, SC</t>
        </is>
      </c>
      <c r="D89" t="inlineStr">
        <is>
          <t>SC</t>
        </is>
      </c>
      <c r="E89" t="n">
        <v>33.679699</v>
      </c>
      <c r="F89" t="n">
        <v>-78.928299</v>
      </c>
      <c r="G89" t="n">
        <v>4066</v>
      </c>
      <c r="H89" t="n">
        <v>40</v>
      </c>
      <c r="I89" t="n">
        <v>7</v>
      </c>
      <c r="J89" t="n">
        <v>4019</v>
      </c>
      <c r="K89" t="n">
        <v>549</v>
      </c>
      <c r="L89" t="n">
        <v>86.3</v>
      </c>
      <c r="M89" t="n">
        <v>13.7</v>
      </c>
      <c r="N89" t="n">
        <v>0.98</v>
      </c>
      <c r="O89" t="n">
        <v>-0.15</v>
      </c>
    </row>
    <row r="90">
      <c r="A90" t="inlineStr">
        <is>
          <t>PNS</t>
        </is>
      </c>
      <c r="B90" t="inlineStr">
        <is>
          <t>Pensacola International Airport</t>
        </is>
      </c>
      <c r="C90" t="inlineStr">
        <is>
          <t>Pensacola, FL</t>
        </is>
      </c>
      <c r="D90" t="inlineStr">
        <is>
          <t>FL</t>
        </is>
      </c>
      <c r="E90" t="n">
        <v>30.472718</v>
      </c>
      <c r="F90" t="n">
        <v>-87.186639</v>
      </c>
      <c r="G90" t="n">
        <v>4023</v>
      </c>
      <c r="H90" t="n">
        <v>43</v>
      </c>
      <c r="I90" t="n">
        <v>9</v>
      </c>
      <c r="J90" t="n">
        <v>3971</v>
      </c>
      <c r="K90" t="n">
        <v>702</v>
      </c>
      <c r="L90" t="n">
        <v>82.3</v>
      </c>
      <c r="M90" t="n">
        <v>17.7</v>
      </c>
      <c r="N90" t="n">
        <v>1.07</v>
      </c>
      <c r="O90" t="n">
        <v>8.31</v>
      </c>
    </row>
    <row r="91">
      <c r="A91" t="inlineStr">
        <is>
          <t>XNA</t>
        </is>
      </c>
      <c r="B91" t="inlineStr">
        <is>
          <t>Northwest Arkansas National Airport</t>
        </is>
      </c>
      <c r="C91" t="inlineStr">
        <is>
          <t>Fayetteville, AR</t>
        </is>
      </c>
      <c r="D91" t="inlineStr">
        <is>
          <t>AR</t>
        </is>
      </c>
      <c r="E91" t="n">
        <v>36.281898</v>
      </c>
      <c r="F91" t="n">
        <v>-94.30680099999999</v>
      </c>
      <c r="G91" t="n">
        <v>4018</v>
      </c>
      <c r="H91" t="n">
        <v>54</v>
      </c>
      <c r="I91" t="n">
        <v>7</v>
      </c>
      <c r="J91" t="n">
        <v>3957</v>
      </c>
      <c r="K91" t="n">
        <v>765</v>
      </c>
      <c r="L91" t="n">
        <v>80.7</v>
      </c>
      <c r="M91" t="n">
        <v>19.3</v>
      </c>
      <c r="N91" t="n">
        <v>1.34</v>
      </c>
      <c r="O91" t="n">
        <v>8.32</v>
      </c>
    </row>
    <row r="92">
      <c r="A92" t="inlineStr">
        <is>
          <t>LIT</t>
        </is>
      </c>
      <c r="B92" t="inlineStr">
        <is>
          <t>Bill &amp; Hillary Clinton National Airport/Adams Field</t>
        </is>
      </c>
      <c r="C92" t="inlineStr">
        <is>
          <t>Little Rock, AR</t>
        </is>
      </c>
      <c r="D92" t="inlineStr">
        <is>
          <t>AR</t>
        </is>
      </c>
      <c r="E92" t="n">
        <v>34.729222</v>
      </c>
      <c r="F92" t="n">
        <v>-92.223591</v>
      </c>
      <c r="G92" t="n">
        <v>3827</v>
      </c>
      <c r="H92" t="n">
        <v>47</v>
      </c>
      <c r="I92" t="n">
        <v>5</v>
      </c>
      <c r="J92" t="n">
        <v>3775</v>
      </c>
      <c r="K92" t="n">
        <v>679</v>
      </c>
      <c r="L92" t="n">
        <v>82</v>
      </c>
      <c r="M92" t="n">
        <v>18</v>
      </c>
      <c r="N92" t="n">
        <v>1.23</v>
      </c>
      <c r="O92" t="n">
        <v>6.35</v>
      </c>
    </row>
    <row r="93">
      <c r="A93" t="inlineStr">
        <is>
          <t>ALB</t>
        </is>
      </c>
      <c r="B93" t="inlineStr">
        <is>
          <t>Albany International Airport</t>
        </is>
      </c>
      <c r="C93" t="inlineStr">
        <is>
          <t>Albany, NY</t>
        </is>
      </c>
      <c r="D93" t="inlineStr">
        <is>
          <t>NY</t>
        </is>
      </c>
      <c r="E93" t="n">
        <v>42.748299</v>
      </c>
      <c r="F93" t="n">
        <v>-73.801697</v>
      </c>
      <c r="G93" t="n">
        <v>3777</v>
      </c>
      <c r="H93" t="n">
        <v>46</v>
      </c>
      <c r="I93" t="n">
        <v>13</v>
      </c>
      <c r="J93" t="n">
        <v>3718</v>
      </c>
      <c r="K93" t="n">
        <v>646</v>
      </c>
      <c r="L93" t="n">
        <v>82.59999999999999</v>
      </c>
      <c r="M93" t="n">
        <v>17.4</v>
      </c>
      <c r="N93" t="n">
        <v>1.22</v>
      </c>
      <c r="O93" t="n">
        <v>3.36</v>
      </c>
    </row>
    <row r="94">
      <c r="A94" t="inlineStr">
        <is>
          <t>COS</t>
        </is>
      </c>
      <c r="B94" t="inlineStr">
        <is>
          <t>City of Colorado Springs Municipal Airport</t>
        </is>
      </c>
      <c r="C94" t="inlineStr">
        <is>
          <t>Colorado Springs, CO</t>
        </is>
      </c>
      <c r="D94" t="inlineStr">
        <is>
          <t>CO</t>
        </is>
      </c>
      <c r="E94" t="n">
        <v>38.805801</v>
      </c>
      <c r="F94" t="n">
        <v>-104.700996</v>
      </c>
      <c r="G94" t="n">
        <v>3754</v>
      </c>
      <c r="H94" t="n">
        <v>53</v>
      </c>
      <c r="I94" t="n">
        <v>10</v>
      </c>
      <c r="J94" t="n">
        <v>3691</v>
      </c>
      <c r="K94" t="n">
        <v>673</v>
      </c>
      <c r="L94" t="n">
        <v>81.8</v>
      </c>
      <c r="M94" t="n">
        <v>18.2</v>
      </c>
      <c r="N94" t="n">
        <v>1.41</v>
      </c>
      <c r="O94" t="n">
        <v>4.67</v>
      </c>
    </row>
    <row r="95">
      <c r="A95" t="inlineStr">
        <is>
          <t>GSO</t>
        </is>
      </c>
      <c r="B95" t="inlineStr">
        <is>
          <t>Piedmont Triad International Airport</t>
        </is>
      </c>
      <c r="C95" t="inlineStr">
        <is>
          <t>Greensboro/High Point, NC</t>
        </is>
      </c>
      <c r="D95" t="inlineStr">
        <is>
          <t>NC</t>
        </is>
      </c>
      <c r="E95" t="n">
        <v>36.09937</v>
      </c>
      <c r="F95" t="n">
        <v>-79.937262</v>
      </c>
      <c r="G95" t="n">
        <v>3742</v>
      </c>
      <c r="H95" t="n">
        <v>40</v>
      </c>
      <c r="I95" t="n">
        <v>4</v>
      </c>
      <c r="J95" t="n">
        <v>3698</v>
      </c>
      <c r="K95" t="n">
        <v>506</v>
      </c>
      <c r="L95" t="n">
        <v>86.3</v>
      </c>
      <c r="M95" t="n">
        <v>13.7</v>
      </c>
      <c r="N95" t="n">
        <v>1.07</v>
      </c>
      <c r="O95" t="n">
        <v>-0.38</v>
      </c>
    </row>
    <row r="96">
      <c r="A96" t="inlineStr">
        <is>
          <t>ROC</t>
        </is>
      </c>
      <c r="B96" t="inlineStr">
        <is>
          <t>Frederick Douglass Greater Rochester International Airport</t>
        </is>
      </c>
      <c r="C96" t="inlineStr">
        <is>
          <t>Rochester, NY</t>
        </is>
      </c>
      <c r="D96" t="inlineStr">
        <is>
          <t>NY</t>
        </is>
      </c>
      <c r="E96" t="n">
        <v>43.1189</v>
      </c>
      <c r="F96" t="n">
        <v>-77.67240099999999</v>
      </c>
      <c r="G96" t="n">
        <v>3724</v>
      </c>
      <c r="H96" t="n">
        <v>62</v>
      </c>
      <c r="I96" t="n">
        <v>8</v>
      </c>
      <c r="J96" t="n">
        <v>3654</v>
      </c>
      <c r="K96" t="n">
        <v>607</v>
      </c>
      <c r="L96" t="n">
        <v>83.40000000000001</v>
      </c>
      <c r="M96" t="n">
        <v>16.6</v>
      </c>
      <c r="N96" t="n">
        <v>1.66</v>
      </c>
      <c r="O96" t="n">
        <v>2.58</v>
      </c>
    </row>
    <row r="97">
      <c r="A97" t="inlineStr">
        <is>
          <t>MSN</t>
        </is>
      </c>
      <c r="B97" t="inlineStr">
        <is>
          <t>Dane County Regional Truax Field</t>
        </is>
      </c>
      <c r="C97" t="inlineStr">
        <is>
          <t>Madison, WI</t>
        </is>
      </c>
      <c r="D97" t="inlineStr">
        <is>
          <t>WI</t>
        </is>
      </c>
      <c r="E97" t="n">
        <v>43.1399</v>
      </c>
      <c r="F97" t="n">
        <v>-89.337502</v>
      </c>
      <c r="G97" t="n">
        <v>3648</v>
      </c>
      <c r="H97" t="n">
        <v>57</v>
      </c>
      <c r="I97" t="n">
        <v>6</v>
      </c>
      <c r="J97" t="n">
        <v>3585</v>
      </c>
      <c r="K97" t="n">
        <v>639</v>
      </c>
      <c r="L97" t="n">
        <v>82.2</v>
      </c>
      <c r="M97" t="n">
        <v>17.8</v>
      </c>
      <c r="N97" t="n">
        <v>1.56</v>
      </c>
      <c r="O97" t="n">
        <v>7.47</v>
      </c>
    </row>
    <row r="98">
      <c r="A98" t="inlineStr">
        <is>
          <t>FAT</t>
        </is>
      </c>
      <c r="B98" t="inlineStr">
        <is>
          <t>Fresno Yosemite International Airport</t>
        </is>
      </c>
      <c r="C98" t="inlineStr">
        <is>
          <t>Fresno, CA</t>
        </is>
      </c>
      <c r="D98" t="inlineStr">
        <is>
          <t>CA</t>
        </is>
      </c>
      <c r="E98" t="n">
        <v>36.775767</v>
      </c>
      <c r="F98" t="n">
        <v>-119.718018</v>
      </c>
      <c r="G98" t="n">
        <v>3576</v>
      </c>
      <c r="H98" t="n">
        <v>26</v>
      </c>
      <c r="I98" t="n">
        <v>6</v>
      </c>
      <c r="J98" t="n">
        <v>3544</v>
      </c>
      <c r="K98" t="n">
        <v>628</v>
      </c>
      <c r="L98" t="n">
        <v>82.3</v>
      </c>
      <c r="M98" t="n">
        <v>17.7</v>
      </c>
      <c r="N98" t="n">
        <v>0.73</v>
      </c>
      <c r="O98" t="n">
        <v>5.41</v>
      </c>
    </row>
    <row r="99">
      <c r="A99" t="inlineStr">
        <is>
          <t>AVL</t>
        </is>
      </c>
      <c r="B99" t="inlineStr">
        <is>
          <t>Asheville Regional Airport</t>
        </is>
      </c>
      <c r="C99" t="inlineStr">
        <is>
          <t>Asheville, NC</t>
        </is>
      </c>
      <c r="D99" t="inlineStr">
        <is>
          <t>NC</t>
        </is>
      </c>
      <c r="E99" t="n">
        <v>35.435488</v>
      </c>
      <c r="F99" t="n">
        <v>-82.541853</v>
      </c>
      <c r="G99" t="n">
        <v>3468</v>
      </c>
      <c r="H99" t="n">
        <v>25</v>
      </c>
      <c r="I99" t="n">
        <v>8</v>
      </c>
      <c r="J99" t="n">
        <v>3435</v>
      </c>
      <c r="K99" t="n">
        <v>628</v>
      </c>
      <c r="L99" t="n">
        <v>81.7</v>
      </c>
      <c r="M99" t="n">
        <v>18.3</v>
      </c>
      <c r="N99" t="n">
        <v>0.72</v>
      </c>
      <c r="O99" t="n">
        <v>4.74</v>
      </c>
    </row>
    <row r="100">
      <c r="A100" t="inlineStr">
        <is>
          <t>ASE</t>
        </is>
      </c>
      <c r="B100" t="inlineStr">
        <is>
          <t>Aspen-Pitkin County Airport (Sardy Field)</t>
        </is>
      </c>
      <c r="C100" t="inlineStr">
        <is>
          <t>Aspen, CO</t>
        </is>
      </c>
      <c r="D100" t="inlineStr">
        <is>
          <t>CO</t>
        </is>
      </c>
      <c r="E100" t="n">
        <v>39.223202</v>
      </c>
      <c r="F100" t="n">
        <v>-106.869003</v>
      </c>
      <c r="G100" t="n">
        <v>3407</v>
      </c>
      <c r="H100" t="n">
        <v>330</v>
      </c>
      <c r="I100" t="n">
        <v>26</v>
      </c>
      <c r="J100" t="n">
        <v>3051</v>
      </c>
      <c r="K100" t="n">
        <v>1073</v>
      </c>
      <c r="L100" t="n">
        <v>64.8</v>
      </c>
      <c r="M100" t="n">
        <v>35.2</v>
      </c>
      <c r="N100" t="n">
        <v>9.69</v>
      </c>
      <c r="O100" t="n">
        <v>25.77</v>
      </c>
    </row>
    <row r="101">
      <c r="A101" t="inlineStr">
        <is>
          <t>EYW</t>
        </is>
      </c>
      <c r="B101" t="inlineStr">
        <is>
          <t>Key West International Airport</t>
        </is>
      </c>
      <c r="C101" t="inlineStr">
        <is>
          <t>Key West, FL</t>
        </is>
      </c>
      <c r="D101" t="inlineStr">
        <is>
          <t>FL</t>
        </is>
      </c>
      <c r="E101" t="n">
        <v>24.556119</v>
      </c>
      <c r="F101" t="n">
        <v>-81.759579</v>
      </c>
      <c r="G101" t="n">
        <v>3288</v>
      </c>
      <c r="H101" t="n">
        <v>61</v>
      </c>
      <c r="I101" t="n">
        <v>32</v>
      </c>
      <c r="J101" t="n">
        <v>3195</v>
      </c>
      <c r="K101" t="n">
        <v>954</v>
      </c>
      <c r="L101" t="n">
        <v>70.09999999999999</v>
      </c>
      <c r="M101" t="n">
        <v>29.9</v>
      </c>
      <c r="N101" t="n">
        <v>1.86</v>
      </c>
      <c r="O101" t="n">
        <v>21.37</v>
      </c>
    </row>
    <row r="102">
      <c r="A102" t="inlineStr">
        <is>
          <t>SFB</t>
        </is>
      </c>
      <c r="B102" t="inlineStr">
        <is>
          <t>Orlando Sanford International Airport</t>
        </is>
      </c>
      <c r="C102" t="inlineStr">
        <is>
          <t>Sanford, FL</t>
        </is>
      </c>
      <c r="D102" t="inlineStr">
        <is>
          <t>FL</t>
        </is>
      </c>
      <c r="E102" t="n">
        <v>28.774277</v>
      </c>
      <c r="F102" t="n">
        <v>-81.23462600000001</v>
      </c>
      <c r="G102" t="n">
        <v>3172</v>
      </c>
      <c r="H102" t="n">
        <v>26</v>
      </c>
      <c r="I102" t="n">
        <v>6</v>
      </c>
      <c r="J102" t="n">
        <v>3140</v>
      </c>
      <c r="K102" t="n">
        <v>653</v>
      </c>
      <c r="L102" t="n">
        <v>79.2</v>
      </c>
      <c r="M102" t="n">
        <v>20.8</v>
      </c>
      <c r="N102" t="n">
        <v>0.82</v>
      </c>
      <c r="O102" t="n">
        <v>5.95</v>
      </c>
    </row>
    <row r="103">
      <c r="A103" t="inlineStr">
        <is>
          <t>BZN</t>
        </is>
      </c>
      <c r="B103" t="inlineStr">
        <is>
          <t>Bozeman Yellowstone International Airport</t>
        </is>
      </c>
      <c r="C103" t="inlineStr">
        <is>
          <t>Bozeman, MT</t>
        </is>
      </c>
      <c r="D103" t="inlineStr">
        <is>
          <t>MT</t>
        </is>
      </c>
      <c r="E103" t="n">
        <v>45.778853</v>
      </c>
      <c r="F103" t="n">
        <v>-111.153711</v>
      </c>
      <c r="G103" t="n">
        <v>3163</v>
      </c>
      <c r="H103" t="n">
        <v>41</v>
      </c>
      <c r="I103" t="n">
        <v>3</v>
      </c>
      <c r="J103" t="n">
        <v>3119</v>
      </c>
      <c r="K103" t="n">
        <v>649</v>
      </c>
      <c r="L103" t="n">
        <v>79.2</v>
      </c>
      <c r="M103" t="n">
        <v>20.8</v>
      </c>
      <c r="N103" t="n">
        <v>1.3</v>
      </c>
      <c r="O103" t="n">
        <v>10.06</v>
      </c>
    </row>
    <row r="104">
      <c r="A104" t="inlineStr">
        <is>
          <t>ICT</t>
        </is>
      </c>
      <c r="B104" t="inlineStr">
        <is>
          <t>Wichita Dwight D. Eisenhower National Airport</t>
        </is>
      </c>
      <c r="C104" t="inlineStr">
        <is>
          <t>Wichita, KS</t>
        </is>
      </c>
      <c r="D104" t="inlineStr">
        <is>
          <t>KS</t>
        </is>
      </c>
      <c r="E104" t="n">
        <v>37.650314</v>
      </c>
      <c r="F104" t="n">
        <v>-97.428583</v>
      </c>
      <c r="G104" t="n">
        <v>3056</v>
      </c>
      <c r="H104" t="n">
        <v>36</v>
      </c>
      <c r="I104" t="n">
        <v>6</v>
      </c>
      <c r="J104" t="n">
        <v>3014</v>
      </c>
      <c r="K104" t="n">
        <v>509</v>
      </c>
      <c r="L104" t="n">
        <v>83.09999999999999</v>
      </c>
      <c r="M104" t="n">
        <v>16.9</v>
      </c>
      <c r="N104" t="n">
        <v>1.18</v>
      </c>
      <c r="O104" t="n">
        <v>4.83</v>
      </c>
    </row>
    <row r="105">
      <c r="A105" t="inlineStr">
        <is>
          <t>HSV</t>
        </is>
      </c>
      <c r="B105" t="inlineStr">
        <is>
          <t>Huntsville International Airport</t>
        </is>
      </c>
      <c r="C105" t="inlineStr">
        <is>
          <t>Huntsville, AL</t>
        </is>
      </c>
      <c r="D105" t="inlineStr">
        <is>
          <t>AL</t>
        </is>
      </c>
      <c r="E105" t="n">
        <v>34.636244</v>
      </c>
      <c r="F105" t="n">
        <v>-86.774378</v>
      </c>
      <c r="G105" t="n">
        <v>2917</v>
      </c>
      <c r="H105" t="n">
        <v>62</v>
      </c>
      <c r="I105" t="n">
        <v>3</v>
      </c>
      <c r="J105" t="n">
        <v>2852</v>
      </c>
      <c r="K105" t="n">
        <v>493</v>
      </c>
      <c r="L105" t="n">
        <v>82.7</v>
      </c>
      <c r="M105" t="n">
        <v>17.3</v>
      </c>
      <c r="N105" t="n">
        <v>2.13</v>
      </c>
      <c r="O105" t="n">
        <v>5.68</v>
      </c>
    </row>
    <row r="106">
      <c r="A106" t="inlineStr">
        <is>
          <t>MAF</t>
        </is>
      </c>
      <c r="B106" t="inlineStr">
        <is>
          <t>Midland International Air and Space Port</t>
        </is>
      </c>
      <c r="C106" t="inlineStr">
        <is>
          <t>Midland/Odessa, TX</t>
        </is>
      </c>
      <c r="D106" t="inlineStr">
        <is>
          <t>TX</t>
        </is>
      </c>
      <c r="E106" t="n">
        <v>31.942499</v>
      </c>
      <c r="F106" t="n">
        <v>-102.202003</v>
      </c>
      <c r="G106" t="n">
        <v>2876</v>
      </c>
      <c r="H106" t="n">
        <v>43</v>
      </c>
      <c r="I106" t="n">
        <v>4</v>
      </c>
      <c r="J106" t="n">
        <v>2829</v>
      </c>
      <c r="K106" t="n">
        <v>413</v>
      </c>
      <c r="L106" t="n">
        <v>85.40000000000001</v>
      </c>
      <c r="M106" t="n">
        <v>14.6</v>
      </c>
      <c r="N106" t="n">
        <v>1.5</v>
      </c>
      <c r="O106" t="n">
        <v>2.96</v>
      </c>
    </row>
    <row r="107">
      <c r="A107" t="inlineStr">
        <is>
          <t>LEX</t>
        </is>
      </c>
      <c r="B107" t="inlineStr">
        <is>
          <t>Blue Grass Airport</t>
        </is>
      </c>
      <c r="C107" t="inlineStr">
        <is>
          <t>Lexington, KY</t>
        </is>
      </c>
      <c r="D107" t="inlineStr">
        <is>
          <t>KY</t>
        </is>
      </c>
      <c r="E107" t="n">
        <v>38.035066</v>
      </c>
      <c r="F107" t="n">
        <v>-84.60673800000001</v>
      </c>
      <c r="G107" t="n">
        <v>2823</v>
      </c>
      <c r="H107" t="n">
        <v>29</v>
      </c>
      <c r="I107" t="n">
        <v>8</v>
      </c>
      <c r="J107" t="n">
        <v>2786</v>
      </c>
      <c r="K107" t="n">
        <v>482</v>
      </c>
      <c r="L107" t="n">
        <v>82.7</v>
      </c>
      <c r="M107" t="n">
        <v>17.3</v>
      </c>
      <c r="N107" t="n">
        <v>1.03</v>
      </c>
      <c r="O107" t="n">
        <v>3.42</v>
      </c>
    </row>
    <row r="108">
      <c r="A108" t="inlineStr">
        <is>
          <t>VPS</t>
        </is>
      </c>
      <c r="B108" t="inlineStr">
        <is>
          <t>Destin-Fort Walton Beach Airport</t>
        </is>
      </c>
      <c r="C108" t="inlineStr">
        <is>
          <t>Valparaiso, FL</t>
        </is>
      </c>
      <c r="D108" t="inlineStr">
        <is>
          <t>FL</t>
        </is>
      </c>
      <c r="E108" t="n">
        <v>30.481315</v>
      </c>
      <c r="F108" t="n">
        <v>-86.515839</v>
      </c>
      <c r="G108" t="n">
        <v>2793</v>
      </c>
      <c r="H108" t="n">
        <v>19</v>
      </c>
      <c r="I108" t="n">
        <v>6</v>
      </c>
      <c r="J108" t="n">
        <v>2768</v>
      </c>
      <c r="K108" t="n">
        <v>450</v>
      </c>
      <c r="L108" t="n">
        <v>83.7</v>
      </c>
      <c r="M108" t="n">
        <v>16.3</v>
      </c>
      <c r="N108" t="n">
        <v>0.68</v>
      </c>
      <c r="O108" t="n">
        <v>6.63</v>
      </c>
    </row>
    <row r="109">
      <c r="A109" t="inlineStr">
        <is>
          <t>PIE</t>
        </is>
      </c>
      <c r="B109" t="inlineStr">
        <is>
          <t>St. Petersburg Clearwater International Airport</t>
        </is>
      </c>
      <c r="C109" t="inlineStr">
        <is>
          <t>St. Petersburg, FL</t>
        </is>
      </c>
      <c r="D109" t="inlineStr">
        <is>
          <t>FL</t>
        </is>
      </c>
      <c r="E109" t="n">
        <v>27.9102</v>
      </c>
      <c r="F109" t="n">
        <v>-82.68740099999999</v>
      </c>
      <c r="G109" t="n">
        <v>2596</v>
      </c>
      <c r="H109" t="n">
        <v>16</v>
      </c>
      <c r="I109" t="n">
        <v>4</v>
      </c>
      <c r="J109" t="n">
        <v>2576</v>
      </c>
      <c r="K109" t="n">
        <v>441</v>
      </c>
      <c r="L109" t="n">
        <v>82.90000000000001</v>
      </c>
      <c r="M109" t="n">
        <v>17.1</v>
      </c>
      <c r="N109" t="n">
        <v>0.62</v>
      </c>
      <c r="O109" t="n">
        <v>2.2</v>
      </c>
    </row>
    <row r="110">
      <c r="A110" t="inlineStr">
        <is>
          <t>DAY</t>
        </is>
      </c>
      <c r="B110" t="inlineStr">
        <is>
          <t>James M. Cox Dayton International Airport</t>
        </is>
      </c>
      <c r="C110" t="inlineStr">
        <is>
          <t>Dayton, OH</t>
        </is>
      </c>
      <c r="D110" t="inlineStr">
        <is>
          <t>OH</t>
        </is>
      </c>
      <c r="E110" t="n">
        <v>39.902401</v>
      </c>
      <c r="F110" t="n">
        <v>-84.219398</v>
      </c>
      <c r="G110" t="n">
        <v>2474</v>
      </c>
      <c r="H110" t="n">
        <v>22</v>
      </c>
      <c r="I110" t="n">
        <v>3</v>
      </c>
      <c r="J110" t="n">
        <v>2449</v>
      </c>
      <c r="K110" t="n">
        <v>394</v>
      </c>
      <c r="L110" t="n">
        <v>83.90000000000001</v>
      </c>
      <c r="M110" t="n">
        <v>16.1</v>
      </c>
      <c r="N110" t="n">
        <v>0.89</v>
      </c>
      <c r="O110" t="n">
        <v>2.07</v>
      </c>
    </row>
    <row r="111">
      <c r="A111" t="inlineStr">
        <is>
          <t>SGF</t>
        </is>
      </c>
      <c r="B111" t="inlineStr">
        <is>
          <t>Springfield Branson National Airport</t>
        </is>
      </c>
      <c r="C111" t="inlineStr">
        <is>
          <t>Springfield, MO</t>
        </is>
      </c>
      <c r="D111" t="inlineStr">
        <is>
          <t>MO</t>
        </is>
      </c>
      <c r="E111" t="n">
        <v>37.245047</v>
      </c>
      <c r="F111" t="n">
        <v>-93.38859600000001</v>
      </c>
      <c r="G111" t="n">
        <v>2447</v>
      </c>
      <c r="H111" t="n">
        <v>48</v>
      </c>
      <c r="I111" t="n">
        <v>3</v>
      </c>
      <c r="J111" t="n">
        <v>2396</v>
      </c>
      <c r="K111" t="n">
        <v>504</v>
      </c>
      <c r="L111" t="n">
        <v>79</v>
      </c>
      <c r="M111" t="n">
        <v>21</v>
      </c>
      <c r="N111" t="n">
        <v>1.96</v>
      </c>
      <c r="O111" t="n">
        <v>12.49</v>
      </c>
    </row>
    <row r="112">
      <c r="A112" t="inlineStr">
        <is>
          <t>PGD</t>
        </is>
      </c>
      <c r="B112" t="inlineStr">
        <is>
          <t>Punta Gorda Airport</t>
        </is>
      </c>
      <c r="C112" t="inlineStr">
        <is>
          <t>Punta Gorda, FL</t>
        </is>
      </c>
      <c r="D112" t="inlineStr">
        <is>
          <t>FL</t>
        </is>
      </c>
      <c r="E112" t="n">
        <v>26.9202</v>
      </c>
      <c r="F112" t="n">
        <v>-81.99050099999999</v>
      </c>
      <c r="G112" t="n">
        <v>2428</v>
      </c>
      <c r="H112" t="n">
        <v>13</v>
      </c>
      <c r="I112" t="n">
        <v>9</v>
      </c>
      <c r="J112" t="n">
        <v>2406</v>
      </c>
      <c r="K112" t="n">
        <v>496</v>
      </c>
      <c r="L112" t="n">
        <v>79.40000000000001</v>
      </c>
      <c r="M112" t="n">
        <v>20.6</v>
      </c>
      <c r="N112" t="n">
        <v>0.54</v>
      </c>
      <c r="O112" t="n">
        <v>7.37</v>
      </c>
    </row>
    <row r="113">
      <c r="A113" t="inlineStr">
        <is>
          <t>CID</t>
        </is>
      </c>
      <c r="B113" t="inlineStr">
        <is>
          <t>The Eastern Iowa Airport</t>
        </is>
      </c>
      <c r="C113" t="inlineStr">
        <is>
          <t>Cedar Rapids/Iowa City, IA</t>
        </is>
      </c>
      <c r="D113" t="inlineStr">
        <is>
          <t>IA</t>
        </is>
      </c>
      <c r="E113" t="n">
        <v>41.884701</v>
      </c>
      <c r="F113" t="n">
        <v>-91.71080000000001</v>
      </c>
      <c r="G113" t="n">
        <v>2413</v>
      </c>
      <c r="H113" t="n">
        <v>75</v>
      </c>
      <c r="I113" t="n">
        <v>5</v>
      </c>
      <c r="J113" t="n">
        <v>2333</v>
      </c>
      <c r="K113" t="n">
        <v>454</v>
      </c>
      <c r="L113" t="n">
        <v>80.5</v>
      </c>
      <c r="M113" t="n">
        <v>19.5</v>
      </c>
      <c r="N113" t="n">
        <v>3.11</v>
      </c>
      <c r="O113" t="n">
        <v>9.449999999999999</v>
      </c>
    </row>
    <row r="114">
      <c r="A114" t="inlineStr">
        <is>
          <t>PWM</t>
        </is>
      </c>
      <c r="B114" t="inlineStr">
        <is>
          <t>Portland International Jetport</t>
        </is>
      </c>
      <c r="C114" t="inlineStr">
        <is>
          <t>Portland, ME</t>
        </is>
      </c>
      <c r="D114" t="inlineStr">
        <is>
          <t>ME</t>
        </is>
      </c>
      <c r="E114" t="n">
        <v>43.646198</v>
      </c>
      <c r="F114" t="n">
        <v>-70.309303</v>
      </c>
      <c r="G114" t="n">
        <v>2392</v>
      </c>
      <c r="H114" t="n">
        <v>71</v>
      </c>
      <c r="I114" t="n">
        <v>5</v>
      </c>
      <c r="J114" t="n">
        <v>2316</v>
      </c>
      <c r="K114" t="n">
        <v>331</v>
      </c>
      <c r="L114" t="n">
        <v>85.7</v>
      </c>
      <c r="M114" t="n">
        <v>14.3</v>
      </c>
      <c r="N114" t="n">
        <v>2.97</v>
      </c>
      <c r="O114" t="n">
        <v>2.59</v>
      </c>
    </row>
    <row r="115">
      <c r="A115" t="inlineStr">
        <is>
          <t>EUG</t>
        </is>
      </c>
      <c r="B115" t="inlineStr">
        <is>
          <t>Eugene Airport</t>
        </is>
      </c>
      <c r="C115" t="inlineStr">
        <is>
          <t>Eugene, OR</t>
        </is>
      </c>
      <c r="D115" t="inlineStr">
        <is>
          <t>OR</t>
        </is>
      </c>
      <c r="E115" t="n">
        <v>44.124599</v>
      </c>
      <c r="F115" t="n">
        <v>-123.211998</v>
      </c>
      <c r="G115" t="n">
        <v>2352</v>
      </c>
      <c r="H115" t="n">
        <v>93</v>
      </c>
      <c r="I115" t="n">
        <v>5</v>
      </c>
      <c r="J115" t="n">
        <v>2254</v>
      </c>
      <c r="K115" t="n">
        <v>393</v>
      </c>
      <c r="L115" t="n">
        <v>82.59999999999999</v>
      </c>
      <c r="M115" t="n">
        <v>17.4</v>
      </c>
      <c r="N115" t="n">
        <v>3.95</v>
      </c>
      <c r="O115" t="n">
        <v>7.25</v>
      </c>
    </row>
    <row r="116">
      <c r="A116" t="inlineStr">
        <is>
          <t>FSD</t>
        </is>
      </c>
      <c r="B116" t="inlineStr">
        <is>
          <t>Sioux Falls Regional Airport</t>
        </is>
      </c>
      <c r="C116" t="inlineStr">
        <is>
          <t>Sioux Falls, SD</t>
        </is>
      </c>
      <c r="D116" t="inlineStr">
        <is>
          <t>SD</t>
        </is>
      </c>
      <c r="E116" t="n">
        <v>43.585463</v>
      </c>
      <c r="F116" t="n">
        <v>-96.741152</v>
      </c>
      <c r="G116" t="n">
        <v>2351</v>
      </c>
      <c r="H116" t="n">
        <v>32</v>
      </c>
      <c r="I116" t="n">
        <v>2</v>
      </c>
      <c r="J116" t="n">
        <v>2317</v>
      </c>
      <c r="K116" t="n">
        <v>399</v>
      </c>
      <c r="L116" t="n">
        <v>82.8</v>
      </c>
      <c r="M116" t="n">
        <v>17.2</v>
      </c>
      <c r="N116" t="n">
        <v>1.36</v>
      </c>
      <c r="O116" t="n">
        <v>1.96</v>
      </c>
    </row>
    <row r="117">
      <c r="A117" t="inlineStr">
        <is>
          <t>ECP</t>
        </is>
      </c>
      <c r="B117" t="inlineStr">
        <is>
          <t>Northwest Florida Beaches International Airport</t>
        </is>
      </c>
      <c r="C117" t="inlineStr">
        <is>
          <t>Panama City, FL</t>
        </is>
      </c>
      <c r="D117" t="inlineStr">
        <is>
          <t>FL</t>
        </is>
      </c>
      <c r="E117" t="n">
        <v>30.357106</v>
      </c>
      <c r="F117" t="n">
        <v>-85.79541399999999</v>
      </c>
      <c r="G117" t="n">
        <v>2300</v>
      </c>
      <c r="H117" t="n">
        <v>12</v>
      </c>
      <c r="I117" t="n">
        <v>0</v>
      </c>
      <c r="J117" t="n">
        <v>2288</v>
      </c>
      <c r="K117" t="n">
        <v>372</v>
      </c>
      <c r="L117" t="n">
        <v>83.7</v>
      </c>
      <c r="M117" t="n">
        <v>16.3</v>
      </c>
      <c r="N117" t="n">
        <v>0.52</v>
      </c>
      <c r="O117" t="n">
        <v>6.16</v>
      </c>
    </row>
    <row r="118">
      <c r="A118" t="inlineStr">
        <is>
          <t>ITO</t>
        </is>
      </c>
      <c r="B118" t="inlineStr">
        <is>
          <t>Hilo International Airport</t>
        </is>
      </c>
      <c r="C118" t="inlineStr">
        <is>
          <t>Hilo, HI</t>
        </is>
      </c>
      <c r="D118" t="inlineStr">
        <is>
          <t>HI</t>
        </is>
      </c>
      <c r="E118" t="n">
        <v>19.72135</v>
      </c>
      <c r="F118" t="n">
        <v>-155.045428</v>
      </c>
      <c r="G118" t="n">
        <v>2292</v>
      </c>
      <c r="H118" t="n">
        <v>10</v>
      </c>
      <c r="I118" t="n">
        <v>0</v>
      </c>
      <c r="J118" t="n">
        <v>2282</v>
      </c>
      <c r="K118" t="n">
        <v>275</v>
      </c>
      <c r="L118" t="n">
        <v>88</v>
      </c>
      <c r="M118" t="n">
        <v>12.1</v>
      </c>
      <c r="N118" t="n">
        <v>0.44</v>
      </c>
      <c r="O118" t="n">
        <v>2.97</v>
      </c>
    </row>
    <row r="119">
      <c r="A119" t="inlineStr">
        <is>
          <t>STT</t>
        </is>
      </c>
      <c r="B119" t="inlineStr">
        <is>
          <t>Cyril E. King Airport</t>
        </is>
      </c>
      <c r="C119" t="inlineStr">
        <is>
          <t>Charlotte Amalie, VI</t>
        </is>
      </c>
      <c r="D119" t="inlineStr">
        <is>
          <t>VI</t>
        </is>
      </c>
      <c r="E119" t="n">
        <v>18.337091</v>
      </c>
      <c r="F119" t="n">
        <v>-64.977251</v>
      </c>
      <c r="G119" t="n">
        <v>2225</v>
      </c>
      <c r="H119" t="n">
        <v>29</v>
      </c>
      <c r="I119" t="n">
        <v>39</v>
      </c>
      <c r="J119" t="n">
        <v>2157</v>
      </c>
      <c r="K119" t="n">
        <v>588</v>
      </c>
      <c r="L119" t="n">
        <v>72.7</v>
      </c>
      <c r="M119" t="n">
        <v>27.3</v>
      </c>
      <c r="N119" t="n">
        <v>1.3</v>
      </c>
      <c r="O119" t="n">
        <v>20.28</v>
      </c>
    </row>
    <row r="120">
      <c r="A120" t="inlineStr">
        <is>
          <t>JAN</t>
        </is>
      </c>
      <c r="B120" t="inlineStr">
        <is>
          <t>Jackson-Medgar Wiley Evers International Airport</t>
        </is>
      </c>
      <c r="C120" t="inlineStr">
        <is>
          <t>Jackson/Vicksburg, MS</t>
        </is>
      </c>
      <c r="D120" t="inlineStr">
        <is>
          <t>MS</t>
        </is>
      </c>
      <c r="E120" t="n">
        <v>32.311199</v>
      </c>
      <c r="F120" t="n">
        <v>-90.075897</v>
      </c>
      <c r="G120" t="n">
        <v>2185</v>
      </c>
      <c r="H120" t="n">
        <v>25</v>
      </c>
      <c r="I120" t="n">
        <v>4</v>
      </c>
      <c r="J120" t="n">
        <v>2156</v>
      </c>
      <c r="K120" t="n">
        <v>341</v>
      </c>
      <c r="L120" t="n">
        <v>84.2</v>
      </c>
      <c r="M120" t="n">
        <v>15.8</v>
      </c>
      <c r="N120" t="n">
        <v>1.14</v>
      </c>
      <c r="O120" t="n">
        <v>4.05</v>
      </c>
    </row>
    <row r="121">
      <c r="A121" t="inlineStr">
        <is>
          <t>SBA</t>
        </is>
      </c>
      <c r="B121" t="inlineStr">
        <is>
          <t>Santa Barbara Municipal Airport</t>
        </is>
      </c>
      <c r="C121" t="inlineStr">
        <is>
          <t>Santa Barbara, CA</t>
        </is>
      </c>
      <c r="D121" t="inlineStr">
        <is>
          <t>CA</t>
        </is>
      </c>
      <c r="E121" t="n">
        <v>34.426201</v>
      </c>
      <c r="F121" t="n">
        <v>-119.839996</v>
      </c>
      <c r="G121" t="n">
        <v>2172</v>
      </c>
      <c r="H121" t="n">
        <v>65</v>
      </c>
      <c r="I121" t="n">
        <v>4</v>
      </c>
      <c r="J121" t="n">
        <v>2103</v>
      </c>
      <c r="K121" t="n">
        <v>464</v>
      </c>
      <c r="L121" t="n">
        <v>77.90000000000001</v>
      </c>
      <c r="M121" t="n">
        <v>22.1</v>
      </c>
      <c r="N121" t="n">
        <v>2.99</v>
      </c>
      <c r="O121" t="n">
        <v>15.06</v>
      </c>
    </row>
    <row r="122">
      <c r="A122" t="inlineStr">
        <is>
          <t>CHA</t>
        </is>
      </c>
      <c r="B122" t="inlineStr">
        <is>
          <t>Chattanooga Metropolitan Airport (Lovell Field)</t>
        </is>
      </c>
      <c r="C122" t="inlineStr">
        <is>
          <t>Chattanooga, TN</t>
        </is>
      </c>
      <c r="D122" t="inlineStr">
        <is>
          <t>TN</t>
        </is>
      </c>
      <c r="E122" t="n">
        <v>35.035301</v>
      </c>
      <c r="F122" t="n">
        <v>-85.203796</v>
      </c>
      <c r="G122" t="n">
        <v>2133</v>
      </c>
      <c r="H122" t="n">
        <v>35</v>
      </c>
      <c r="I122" t="n">
        <v>5</v>
      </c>
      <c r="J122" t="n">
        <v>2093</v>
      </c>
      <c r="K122" t="n">
        <v>413</v>
      </c>
      <c r="L122" t="n">
        <v>80.3</v>
      </c>
      <c r="M122" t="n">
        <v>19.7</v>
      </c>
      <c r="N122" t="n">
        <v>1.64</v>
      </c>
      <c r="O122" t="n">
        <v>7.12</v>
      </c>
    </row>
    <row r="123">
      <c r="A123" t="inlineStr">
        <is>
          <t>FAR</t>
        </is>
      </c>
      <c r="B123" t="inlineStr">
        <is>
          <t>Hector International Airport</t>
        </is>
      </c>
      <c r="C123" t="inlineStr">
        <is>
          <t>Fargo, ND</t>
        </is>
      </c>
      <c r="D123" t="inlineStr">
        <is>
          <t>ND</t>
        </is>
      </c>
      <c r="E123" t="n">
        <v>46.9207</v>
      </c>
      <c r="F123" t="n">
        <v>-96.815804</v>
      </c>
      <c r="G123" t="n">
        <v>2133</v>
      </c>
      <c r="H123" t="n">
        <v>36</v>
      </c>
      <c r="I123" t="n">
        <v>2</v>
      </c>
      <c r="J123" t="n">
        <v>2095</v>
      </c>
      <c r="K123" t="n">
        <v>296</v>
      </c>
      <c r="L123" t="n">
        <v>85.90000000000001</v>
      </c>
      <c r="M123" t="n">
        <v>14.1</v>
      </c>
      <c r="N123" t="n">
        <v>1.69</v>
      </c>
      <c r="O123" t="n">
        <v>1.42</v>
      </c>
    </row>
    <row r="124">
      <c r="A124" t="inlineStr">
        <is>
          <t>EGE</t>
        </is>
      </c>
      <c r="B124" t="inlineStr">
        <is>
          <t>Eagle County Regional Airport</t>
        </is>
      </c>
      <c r="C124" t="inlineStr">
        <is>
          <t>Eagle, CO</t>
        </is>
      </c>
      <c r="D124" t="inlineStr">
        <is>
          <t>CO</t>
        </is>
      </c>
      <c r="E124" t="n">
        <v>39.64260101</v>
      </c>
      <c r="F124" t="n">
        <v>-106.9179993</v>
      </c>
      <c r="G124" t="n">
        <v>2085</v>
      </c>
      <c r="H124" t="n">
        <v>25</v>
      </c>
      <c r="I124" t="n">
        <v>11</v>
      </c>
      <c r="J124" t="n">
        <v>2049</v>
      </c>
      <c r="K124" t="n">
        <v>541</v>
      </c>
      <c r="L124" t="n">
        <v>73.59999999999999</v>
      </c>
      <c r="M124" t="n">
        <v>26.4</v>
      </c>
      <c r="N124" t="n">
        <v>1.2</v>
      </c>
      <c r="O124" t="n">
        <v>19.01</v>
      </c>
    </row>
    <row r="125">
      <c r="A125" t="inlineStr">
        <is>
          <t>SBN</t>
        </is>
      </c>
      <c r="B125" t="inlineStr">
        <is>
          <t>South Bend International Airport</t>
        </is>
      </c>
      <c r="C125" t="inlineStr">
        <is>
          <t>South Bend, IN</t>
        </is>
      </c>
      <c r="D125" t="inlineStr">
        <is>
          <t>IN</t>
        </is>
      </c>
      <c r="E125" t="n">
        <v>41.708304</v>
      </c>
      <c r="F125" t="n">
        <v>-86.31692200000001</v>
      </c>
      <c r="G125" t="n">
        <v>2073</v>
      </c>
      <c r="H125" t="n">
        <v>51</v>
      </c>
      <c r="I125" t="n">
        <v>2</v>
      </c>
      <c r="J125" t="n">
        <v>2020</v>
      </c>
      <c r="K125" t="n">
        <v>389</v>
      </c>
      <c r="L125" t="n">
        <v>80.7</v>
      </c>
      <c r="M125" t="n">
        <v>19.3</v>
      </c>
      <c r="N125" t="n">
        <v>2.46</v>
      </c>
      <c r="O125" t="n">
        <v>6.32</v>
      </c>
    </row>
    <row r="126">
      <c r="A126" t="inlineStr">
        <is>
          <t>ILM</t>
        </is>
      </c>
      <c r="B126" t="inlineStr">
        <is>
          <t>Wilmington International Airport</t>
        </is>
      </c>
      <c r="C126" t="inlineStr">
        <is>
          <t>Wilmington, NC</t>
        </is>
      </c>
      <c r="D126" t="inlineStr">
        <is>
          <t>NC</t>
        </is>
      </c>
      <c r="E126" t="n">
        <v>34.272345</v>
      </c>
      <c r="F126" t="n">
        <v>-77.905117</v>
      </c>
      <c r="G126" t="n">
        <v>2065</v>
      </c>
      <c r="H126" t="n">
        <v>22</v>
      </c>
      <c r="I126" t="n">
        <v>4</v>
      </c>
      <c r="J126" t="n">
        <v>2039</v>
      </c>
      <c r="K126" t="n">
        <v>320</v>
      </c>
      <c r="L126" t="n">
        <v>84.3</v>
      </c>
      <c r="M126" t="n">
        <v>15.7</v>
      </c>
      <c r="N126" t="n">
        <v>1.07</v>
      </c>
      <c r="O126" t="n">
        <v>2.33</v>
      </c>
    </row>
    <row r="127">
      <c r="A127" t="inlineStr">
        <is>
          <t>AZA</t>
        </is>
      </c>
      <c r="B127" t="inlineStr">
        <is>
          <t>Mesa Gateway Airport</t>
        </is>
      </c>
      <c r="C127" t="inlineStr">
        <is>
          <t>Phoenix, AZ</t>
        </is>
      </c>
      <c r="D127" t="inlineStr">
        <is>
          <t>AZ</t>
        </is>
      </c>
      <c r="E127" t="n">
        <v>33.3078</v>
      </c>
      <c r="F127" t="n">
        <v>-111.654999</v>
      </c>
      <c r="G127" t="n">
        <v>2061</v>
      </c>
      <c r="H127" t="n">
        <v>13</v>
      </c>
      <c r="I127" t="n">
        <v>6</v>
      </c>
      <c r="J127" t="n">
        <v>2042</v>
      </c>
      <c r="K127" t="n">
        <v>208</v>
      </c>
      <c r="L127" t="n">
        <v>89.8</v>
      </c>
      <c r="M127" t="n">
        <v>10.2</v>
      </c>
      <c r="N127" t="n">
        <v>0.63</v>
      </c>
      <c r="O127" t="n">
        <v>-5.06</v>
      </c>
    </row>
    <row r="128">
      <c r="A128" t="inlineStr">
        <is>
          <t>CAE</t>
        </is>
      </c>
      <c r="B128" t="inlineStr">
        <is>
          <t>Columbia Metropolitan Airport</t>
        </is>
      </c>
      <c r="C128" t="inlineStr">
        <is>
          <t>Columbia, SC</t>
        </is>
      </c>
      <c r="D128" t="inlineStr">
        <is>
          <t>SC</t>
        </is>
      </c>
      <c r="E128" t="n">
        <v>33.938172</v>
      </c>
      <c r="F128" t="n">
        <v>-81.12302200000001</v>
      </c>
      <c r="G128" t="n">
        <v>2037</v>
      </c>
      <c r="H128" t="n">
        <v>25</v>
      </c>
      <c r="I128" t="n">
        <v>2</v>
      </c>
      <c r="J128" t="n">
        <v>2010</v>
      </c>
      <c r="K128" t="n">
        <v>304</v>
      </c>
      <c r="L128" t="n">
        <v>84.90000000000001</v>
      </c>
      <c r="M128" t="n">
        <v>15.1</v>
      </c>
      <c r="N128" t="n">
        <v>1.23</v>
      </c>
      <c r="O128" t="n">
        <v>1.53</v>
      </c>
    </row>
    <row r="129">
      <c r="A129" t="inlineStr">
        <is>
          <t>BTV</t>
        </is>
      </c>
      <c r="B129" t="inlineStr">
        <is>
          <t>Patrick Leahy Burlington International Airport</t>
        </is>
      </c>
      <c r="C129" t="inlineStr">
        <is>
          <t>Burlington, VT</t>
        </is>
      </c>
      <c r="D129" t="inlineStr">
        <is>
          <t>VT</t>
        </is>
      </c>
      <c r="E129" t="n">
        <v>44.471901</v>
      </c>
      <c r="F129" t="n">
        <v>-73.15329699999999</v>
      </c>
      <c r="G129" t="n">
        <v>1986</v>
      </c>
      <c r="H129" t="n">
        <v>45</v>
      </c>
      <c r="I129" t="n">
        <v>2</v>
      </c>
      <c r="J129" t="n">
        <v>1939</v>
      </c>
      <c r="K129" t="n">
        <v>308</v>
      </c>
      <c r="L129" t="n">
        <v>84.09999999999999</v>
      </c>
      <c r="M129" t="n">
        <v>15.9</v>
      </c>
      <c r="N129" t="n">
        <v>2.27</v>
      </c>
      <c r="O129" t="n">
        <v>0.15</v>
      </c>
    </row>
    <row r="130">
      <c r="A130" t="inlineStr">
        <is>
          <t>TLH</t>
        </is>
      </c>
      <c r="B130" t="inlineStr">
        <is>
          <t>Tallahassee International Airport</t>
        </is>
      </c>
      <c r="C130" t="inlineStr">
        <is>
          <t>Tallahassee, FL</t>
        </is>
      </c>
      <c r="D130" t="inlineStr">
        <is>
          <t>FL</t>
        </is>
      </c>
      <c r="E130" t="n">
        <v>30.401209</v>
      </c>
      <c r="F130" t="n">
        <v>-84.35433</v>
      </c>
      <c r="G130" t="n">
        <v>1986</v>
      </c>
      <c r="H130" t="n">
        <v>15</v>
      </c>
      <c r="I130" t="n">
        <v>3</v>
      </c>
      <c r="J130" t="n">
        <v>1968</v>
      </c>
      <c r="K130" t="n">
        <v>357</v>
      </c>
      <c r="L130" t="n">
        <v>81.90000000000001</v>
      </c>
      <c r="M130" t="n">
        <v>18.1</v>
      </c>
      <c r="N130" t="n">
        <v>0.76</v>
      </c>
      <c r="O130" t="n">
        <v>3.27</v>
      </c>
    </row>
    <row r="131">
      <c r="A131" t="inlineStr">
        <is>
          <t>LBB</t>
        </is>
      </c>
      <c r="B131" t="inlineStr">
        <is>
          <t>Lubbock Preston Smith International Airport</t>
        </is>
      </c>
      <c r="C131" t="inlineStr">
        <is>
          <t>Lubbock, TX</t>
        </is>
      </c>
      <c r="D131" t="inlineStr">
        <is>
          <t>TX</t>
        </is>
      </c>
      <c r="E131" t="n">
        <v>33.663601</v>
      </c>
      <c r="F131" t="n">
        <v>-101.822998</v>
      </c>
      <c r="G131" t="n">
        <v>1945</v>
      </c>
      <c r="H131" t="n">
        <v>33</v>
      </c>
      <c r="I131" t="n">
        <v>3</v>
      </c>
      <c r="J131" t="n">
        <v>1909</v>
      </c>
      <c r="K131" t="n">
        <v>353</v>
      </c>
      <c r="L131" t="n">
        <v>81.5</v>
      </c>
      <c r="M131" t="n">
        <v>18.5</v>
      </c>
      <c r="N131" t="n">
        <v>1.7</v>
      </c>
      <c r="O131" t="n">
        <v>6.23</v>
      </c>
    </row>
    <row r="132">
      <c r="A132" t="inlineStr">
        <is>
          <t>ATW</t>
        </is>
      </c>
      <c r="B132" t="inlineStr">
        <is>
          <t>Appleton International Airport</t>
        </is>
      </c>
      <c r="C132" t="inlineStr">
        <is>
          <t>Appleton, WI</t>
        </is>
      </c>
      <c r="D132" t="inlineStr">
        <is>
          <t>WI</t>
        </is>
      </c>
      <c r="E132" t="n">
        <v>44.258515</v>
      </c>
      <c r="F132" t="n">
        <v>-88.51900000000001</v>
      </c>
      <c r="G132" t="n">
        <v>1940</v>
      </c>
      <c r="H132" t="n">
        <v>38</v>
      </c>
      <c r="I132" t="n">
        <v>1</v>
      </c>
      <c r="J132" t="n">
        <v>1901</v>
      </c>
      <c r="K132" t="n">
        <v>367</v>
      </c>
      <c r="L132" t="n">
        <v>80.7</v>
      </c>
      <c r="M132" t="n">
        <v>19.3</v>
      </c>
      <c r="N132" t="n">
        <v>1.96</v>
      </c>
      <c r="O132" t="n">
        <v>12.84</v>
      </c>
    </row>
    <row r="133">
      <c r="A133" t="inlineStr">
        <is>
          <t>RDM</t>
        </is>
      </c>
      <c r="B133" t="inlineStr">
        <is>
          <t>Roberts Field</t>
        </is>
      </c>
      <c r="C133" t="inlineStr">
        <is>
          <t>Bend/Redmond, OR</t>
        </is>
      </c>
      <c r="D133" t="inlineStr">
        <is>
          <t>OR</t>
        </is>
      </c>
      <c r="E133" t="n">
        <v>44.254101</v>
      </c>
      <c r="F133" t="n">
        <v>-121.150002</v>
      </c>
      <c r="G133" t="n">
        <v>1936</v>
      </c>
      <c r="H133" t="n">
        <v>59</v>
      </c>
      <c r="I133" t="n">
        <v>2</v>
      </c>
      <c r="J133" t="n">
        <v>1875</v>
      </c>
      <c r="K133" t="n">
        <v>455</v>
      </c>
      <c r="L133" t="n">
        <v>75.7</v>
      </c>
      <c r="M133" t="n">
        <v>24.3</v>
      </c>
      <c r="N133" t="n">
        <v>3.05</v>
      </c>
      <c r="O133" t="n">
        <v>23.65</v>
      </c>
    </row>
    <row r="134">
      <c r="A134" t="inlineStr">
        <is>
          <t>JAC</t>
        </is>
      </c>
      <c r="B134" t="inlineStr">
        <is>
          <t>Jackson Hole Airport</t>
        </is>
      </c>
      <c r="C134" t="inlineStr">
        <is>
          <t>Jackson, WY</t>
        </is>
      </c>
      <c r="D134" t="inlineStr">
        <is>
          <t>WY</t>
        </is>
      </c>
      <c r="E134" t="n">
        <v>43.6073</v>
      </c>
      <c r="F134" t="n">
        <v>-110.737999</v>
      </c>
      <c r="G134" t="n">
        <v>1856</v>
      </c>
      <c r="H134" t="n">
        <v>31</v>
      </c>
      <c r="I134" t="n">
        <v>17</v>
      </c>
      <c r="J134" t="n">
        <v>1808</v>
      </c>
      <c r="K134" t="n">
        <v>470</v>
      </c>
      <c r="L134" t="n">
        <v>74</v>
      </c>
      <c r="M134" t="n">
        <v>26</v>
      </c>
      <c r="N134" t="n">
        <v>1.67</v>
      </c>
      <c r="O134" t="n">
        <v>20.5</v>
      </c>
    </row>
    <row r="135">
      <c r="A135" t="inlineStr">
        <is>
          <t>ISP</t>
        </is>
      </c>
      <c r="B135" t="inlineStr">
        <is>
          <t>Long Island MacArthur Airport</t>
        </is>
      </c>
      <c r="C135" t="inlineStr">
        <is>
          <t>Islip, NY</t>
        </is>
      </c>
      <c r="D135" t="inlineStr">
        <is>
          <t>NY</t>
        </is>
      </c>
      <c r="E135" t="n">
        <v>40.796324</v>
      </c>
      <c r="F135" t="n">
        <v>-73.101703</v>
      </c>
      <c r="G135" t="n">
        <v>1836</v>
      </c>
      <c r="H135" t="n">
        <v>33</v>
      </c>
      <c r="I135" t="n">
        <v>3</v>
      </c>
      <c r="J135" t="n">
        <v>1800</v>
      </c>
      <c r="K135" t="n">
        <v>384</v>
      </c>
      <c r="L135" t="n">
        <v>78.7</v>
      </c>
      <c r="M135" t="n">
        <v>21.3</v>
      </c>
      <c r="N135" t="n">
        <v>1.8</v>
      </c>
      <c r="O135" t="n">
        <v>4.99</v>
      </c>
    </row>
    <row r="136">
      <c r="A136" t="inlineStr">
        <is>
          <t>MDT</t>
        </is>
      </c>
      <c r="B136" t="inlineStr">
        <is>
          <t>Harrisburg International Airport</t>
        </is>
      </c>
      <c r="C136" t="inlineStr">
        <is>
          <t>Harrisburg, PA</t>
        </is>
      </c>
      <c r="D136" t="inlineStr">
        <is>
          <t>PA</t>
        </is>
      </c>
      <c r="E136" t="n">
        <v>40.192838</v>
      </c>
      <c r="F136" t="n">
        <v>-76.762333</v>
      </c>
      <c r="G136" t="n">
        <v>1622</v>
      </c>
      <c r="H136" t="n">
        <v>17</v>
      </c>
      <c r="I136" t="n">
        <v>5</v>
      </c>
      <c r="J136" t="n">
        <v>1600</v>
      </c>
      <c r="K136" t="n">
        <v>231</v>
      </c>
      <c r="L136" t="n">
        <v>85.59999999999999</v>
      </c>
      <c r="M136" t="n">
        <v>14.4</v>
      </c>
      <c r="N136" t="n">
        <v>1.05</v>
      </c>
      <c r="O136" t="n">
        <v>-1.13</v>
      </c>
    </row>
    <row r="137">
      <c r="A137" t="inlineStr">
        <is>
          <t>AMA</t>
        </is>
      </c>
      <c r="B137" t="inlineStr">
        <is>
          <t>Rick Husband Amarillo International Airport</t>
        </is>
      </c>
      <c r="C137" t="inlineStr">
        <is>
          <t>Amarillo, TX</t>
        </is>
      </c>
      <c r="D137" t="inlineStr">
        <is>
          <t>TX</t>
        </is>
      </c>
      <c r="E137" t="n">
        <v>35.217857</v>
      </c>
      <c r="F137" t="n">
        <v>-101.706444</v>
      </c>
      <c r="G137" t="n">
        <v>1583</v>
      </c>
      <c r="H137" t="n">
        <v>28</v>
      </c>
      <c r="I137" t="n">
        <v>2</v>
      </c>
      <c r="J137" t="n">
        <v>1553</v>
      </c>
      <c r="K137" t="n">
        <v>263</v>
      </c>
      <c r="L137" t="n">
        <v>83.09999999999999</v>
      </c>
      <c r="M137" t="n">
        <v>16.9</v>
      </c>
      <c r="N137" t="n">
        <v>1.77</v>
      </c>
      <c r="O137" t="n">
        <v>3.75</v>
      </c>
    </row>
    <row r="138">
      <c r="A138" t="inlineStr">
        <is>
          <t>BTR</t>
        </is>
      </c>
      <c r="B138" t="inlineStr">
        <is>
          <t>Baton Rouge Metropolitan Airport</t>
        </is>
      </c>
      <c r="C138" t="inlineStr">
        <is>
          <t>Baton Rouge, LA</t>
        </is>
      </c>
      <c r="D138" t="inlineStr">
        <is>
          <t>LA</t>
        </is>
      </c>
      <c r="E138" t="n">
        <v>30.533199</v>
      </c>
      <c r="F138" t="n">
        <v>-91.149597</v>
      </c>
      <c r="G138" t="n">
        <v>1572</v>
      </c>
      <c r="H138" t="n">
        <v>27</v>
      </c>
      <c r="I138" t="n">
        <v>5</v>
      </c>
      <c r="J138" t="n">
        <v>1540</v>
      </c>
      <c r="K138" t="n">
        <v>307</v>
      </c>
      <c r="L138" t="n">
        <v>80.09999999999999</v>
      </c>
      <c r="M138" t="n">
        <v>19.9</v>
      </c>
      <c r="N138" t="n">
        <v>1.72</v>
      </c>
      <c r="O138" t="n">
        <v>10.83</v>
      </c>
    </row>
    <row r="139">
      <c r="A139" t="inlineStr">
        <is>
          <t>MHT</t>
        </is>
      </c>
      <c r="B139" t="inlineStr">
        <is>
          <t>Manchester-Boston Regional Airport</t>
        </is>
      </c>
      <c r="C139" t="inlineStr">
        <is>
          <t>Manchester, NH</t>
        </is>
      </c>
      <c r="D139" t="inlineStr">
        <is>
          <t>NH</t>
        </is>
      </c>
      <c r="E139" t="n">
        <v>42.932598</v>
      </c>
      <c r="F139" t="n">
        <v>-71.435699</v>
      </c>
      <c r="G139" t="n">
        <v>1568</v>
      </c>
      <c r="H139" t="n">
        <v>23</v>
      </c>
      <c r="I139" t="n">
        <v>4</v>
      </c>
      <c r="J139" t="n">
        <v>1541</v>
      </c>
      <c r="K139" t="n">
        <v>266</v>
      </c>
      <c r="L139" t="n">
        <v>82.7</v>
      </c>
      <c r="M139" t="n">
        <v>17.3</v>
      </c>
      <c r="N139" t="n">
        <v>1.47</v>
      </c>
      <c r="O139" t="n">
        <v>3.02</v>
      </c>
    </row>
    <row r="140">
      <c r="A140" t="inlineStr">
        <is>
          <t>PSC</t>
        </is>
      </c>
      <c r="B140" t="inlineStr">
        <is>
          <t>Tri Cities Airport</t>
        </is>
      </c>
      <c r="C140" t="inlineStr">
        <is>
          <t>Pasco/Kennewick/Richland, WA</t>
        </is>
      </c>
      <c r="D140" t="inlineStr">
        <is>
          <t>WA</t>
        </is>
      </c>
      <c r="E140" t="n">
        <v>46.264702</v>
      </c>
      <c r="F140" t="n">
        <v>-119.119003</v>
      </c>
      <c r="G140" t="n">
        <v>1518</v>
      </c>
      <c r="H140" t="n">
        <v>16</v>
      </c>
      <c r="I140" t="n">
        <v>3</v>
      </c>
      <c r="J140" t="n">
        <v>1499</v>
      </c>
      <c r="K140" t="n">
        <v>214</v>
      </c>
      <c r="L140" t="n">
        <v>85.7</v>
      </c>
      <c r="M140" t="n">
        <v>14.3</v>
      </c>
      <c r="N140" t="n">
        <v>1.05</v>
      </c>
      <c r="O140" t="n">
        <v>2.42</v>
      </c>
    </row>
    <row r="141">
      <c r="A141" t="inlineStr">
        <is>
          <t>GRB</t>
        </is>
      </c>
      <c r="B141" t="inlineStr">
        <is>
          <t>Austin Straubel International Airport</t>
        </is>
      </c>
      <c r="C141" t="inlineStr">
        <is>
          <t>Green Bay, WI</t>
        </is>
      </c>
      <c r="D141" t="inlineStr">
        <is>
          <t>WI</t>
        </is>
      </c>
      <c r="E141" t="n">
        <v>44.483459</v>
      </c>
      <c r="F141" t="n">
        <v>-88.130805</v>
      </c>
      <c r="G141" t="n">
        <v>1473</v>
      </c>
      <c r="H141" t="n">
        <v>33</v>
      </c>
      <c r="I141" t="n">
        <v>2</v>
      </c>
      <c r="J141" t="n">
        <v>1438</v>
      </c>
      <c r="K141" t="n">
        <v>244</v>
      </c>
      <c r="L141" t="n">
        <v>83</v>
      </c>
      <c r="M141" t="n">
        <v>17</v>
      </c>
      <c r="N141" t="n">
        <v>2.24</v>
      </c>
      <c r="O141" t="n">
        <v>7.59</v>
      </c>
    </row>
    <row r="142">
      <c r="A142" t="inlineStr">
        <is>
          <t>SBP</t>
        </is>
      </c>
      <c r="B142" t="inlineStr">
        <is>
          <t>San Luis County Regional Airport</t>
        </is>
      </c>
      <c r="C142" t="inlineStr">
        <is>
          <t>San Luis Obispo, CA</t>
        </is>
      </c>
      <c r="D142" t="inlineStr">
        <is>
          <t>CA</t>
        </is>
      </c>
      <c r="E142" t="n">
        <v>35.2368011475</v>
      </c>
      <c r="F142" t="n">
        <v>-120.641998291</v>
      </c>
      <c r="G142" t="n">
        <v>1467</v>
      </c>
      <c r="H142" t="n">
        <v>18</v>
      </c>
      <c r="I142" t="n">
        <v>4</v>
      </c>
      <c r="J142" t="n">
        <v>1445</v>
      </c>
      <c r="K142" t="n">
        <v>259</v>
      </c>
      <c r="L142" t="n">
        <v>82.09999999999999</v>
      </c>
      <c r="M142" t="n">
        <v>17.9</v>
      </c>
      <c r="N142" t="n">
        <v>1.23</v>
      </c>
      <c r="O142" t="n">
        <v>6.69</v>
      </c>
    </row>
    <row r="143">
      <c r="A143" t="inlineStr">
        <is>
          <t>ABE</t>
        </is>
      </c>
      <c r="B143" t="inlineStr">
        <is>
          <t>Lehigh Valley International Airport</t>
        </is>
      </c>
      <c r="C143" t="inlineStr">
        <is>
          <t>Allentown/Bethlehem/Easton, PA</t>
        </is>
      </c>
      <c r="D143" t="inlineStr">
        <is>
          <t>PA</t>
        </is>
      </c>
      <c r="E143" t="n">
        <v>40.651773</v>
      </c>
      <c r="F143" t="n">
        <v>-75.442797</v>
      </c>
      <c r="G143" t="n">
        <v>1439</v>
      </c>
      <c r="H143" t="n">
        <v>18</v>
      </c>
      <c r="I143" t="n">
        <v>6</v>
      </c>
      <c r="J143" t="n">
        <v>1415</v>
      </c>
      <c r="K143" t="n">
        <v>211</v>
      </c>
      <c r="L143" t="n">
        <v>85.09999999999999</v>
      </c>
      <c r="M143" t="n">
        <v>14.9</v>
      </c>
      <c r="N143" t="n">
        <v>1.25</v>
      </c>
      <c r="O143" t="n">
        <v>1.66</v>
      </c>
    </row>
    <row r="144">
      <c r="A144" t="inlineStr">
        <is>
          <t>MFR</t>
        </is>
      </c>
      <c r="B144" t="inlineStr">
        <is>
          <t>Rogue Valley International-Medford Airport</t>
        </is>
      </c>
      <c r="C144" t="inlineStr">
        <is>
          <t>Medford, OR</t>
        </is>
      </c>
      <c r="D144" t="inlineStr">
        <is>
          <t>OR</t>
        </is>
      </c>
      <c r="E144" t="n">
        <v>42.374199</v>
      </c>
      <c r="F144" t="n">
        <v>-122.873001</v>
      </c>
      <c r="G144" t="n">
        <v>1409</v>
      </c>
      <c r="H144" t="n">
        <v>7</v>
      </c>
      <c r="I144" t="n">
        <v>0</v>
      </c>
      <c r="J144" t="n">
        <v>1402</v>
      </c>
      <c r="K144" t="n">
        <v>204</v>
      </c>
      <c r="L144" t="n">
        <v>85.5</v>
      </c>
      <c r="M144" t="n">
        <v>14.6</v>
      </c>
      <c r="N144" t="n">
        <v>0.5</v>
      </c>
      <c r="O144" t="n">
        <v>4.65</v>
      </c>
    </row>
    <row r="145">
      <c r="A145" t="inlineStr">
        <is>
          <t>HDN</t>
        </is>
      </c>
      <c r="B145" t="inlineStr">
        <is>
          <t>Yampa Valley Airport</t>
        </is>
      </c>
      <c r="C145" t="inlineStr">
        <is>
          <t>Hayden, CO</t>
        </is>
      </c>
      <c r="D145" t="inlineStr">
        <is>
          <t>CO</t>
        </is>
      </c>
      <c r="E145" t="n">
        <v>40.481201</v>
      </c>
      <c r="F145" t="n">
        <v>-107.218002</v>
      </c>
      <c r="G145" t="n">
        <v>1404</v>
      </c>
      <c r="H145" t="n">
        <v>17</v>
      </c>
      <c r="I145" t="n">
        <v>4</v>
      </c>
      <c r="J145" t="n">
        <v>1383</v>
      </c>
      <c r="K145" t="n">
        <v>364</v>
      </c>
      <c r="L145" t="n">
        <v>73.7</v>
      </c>
      <c r="M145" t="n">
        <v>26.3</v>
      </c>
      <c r="N145" t="n">
        <v>1.21</v>
      </c>
      <c r="O145" t="n">
        <v>14.52</v>
      </c>
    </row>
    <row r="146">
      <c r="A146" t="inlineStr">
        <is>
          <t>HRL</t>
        </is>
      </c>
      <c r="B146" t="inlineStr">
        <is>
          <t>Valley International Airport</t>
        </is>
      </c>
      <c r="C146" t="inlineStr">
        <is>
          <t>Harlingen/San Benito, TX</t>
        </is>
      </c>
      <c r="D146" t="inlineStr">
        <is>
          <t>TX</t>
        </is>
      </c>
      <c r="E146" t="n">
        <v>26.22850036621094</v>
      </c>
      <c r="F146" t="n">
        <v>-97.65440368652344</v>
      </c>
      <c r="G146" t="n">
        <v>1394</v>
      </c>
      <c r="H146" t="n">
        <v>15</v>
      </c>
      <c r="I146" t="n">
        <v>2</v>
      </c>
      <c r="J146" t="n">
        <v>1377</v>
      </c>
      <c r="K146" t="n">
        <v>208</v>
      </c>
      <c r="L146" t="n">
        <v>84.90000000000001</v>
      </c>
      <c r="M146" t="n">
        <v>15.1</v>
      </c>
      <c r="N146" t="n">
        <v>1.08</v>
      </c>
      <c r="O146" t="n">
        <v>1.88</v>
      </c>
    </row>
    <row r="147">
      <c r="A147" t="inlineStr">
        <is>
          <t>FWA</t>
        </is>
      </c>
      <c r="B147" t="inlineStr">
        <is>
          <t>Fort Wayne International Airport</t>
        </is>
      </c>
      <c r="C147" t="inlineStr">
        <is>
          <t>Fort Wayne, IN</t>
        </is>
      </c>
      <c r="D147" t="inlineStr">
        <is>
          <t>IN</t>
        </is>
      </c>
      <c r="E147" t="n">
        <v>40.978896</v>
      </c>
      <c r="F147" t="n">
        <v>-85.19446499999999</v>
      </c>
      <c r="G147" t="n">
        <v>1339</v>
      </c>
      <c r="H147" t="n">
        <v>25</v>
      </c>
      <c r="I147" t="n">
        <v>4</v>
      </c>
      <c r="J147" t="n">
        <v>1310</v>
      </c>
      <c r="K147" t="n">
        <v>290</v>
      </c>
      <c r="L147" t="n">
        <v>77.90000000000001</v>
      </c>
      <c r="M147" t="n">
        <v>22.1</v>
      </c>
      <c r="N147" t="n">
        <v>1.87</v>
      </c>
      <c r="O147" t="n">
        <v>8.41</v>
      </c>
    </row>
    <row r="148">
      <c r="A148" t="inlineStr">
        <is>
          <t>JNU</t>
        </is>
      </c>
      <c r="B148" t="inlineStr">
        <is>
          <t>Juneau International Airport</t>
        </is>
      </c>
      <c r="C148" t="inlineStr">
        <is>
          <t>Juneau, AK</t>
        </is>
      </c>
      <c r="D148" t="inlineStr">
        <is>
          <t>AK</t>
        </is>
      </c>
      <c r="E148" t="n">
        <v>58.354935</v>
      </c>
      <c r="F148" t="n">
        <v>-134.574416</v>
      </c>
      <c r="G148" t="n">
        <v>1339</v>
      </c>
      <c r="H148" t="n">
        <v>32</v>
      </c>
      <c r="I148" t="n">
        <v>8</v>
      </c>
      <c r="J148" t="n">
        <v>1299</v>
      </c>
      <c r="K148" t="n">
        <v>218</v>
      </c>
      <c r="L148" t="n">
        <v>83.2</v>
      </c>
      <c r="M148" t="n">
        <v>16.8</v>
      </c>
      <c r="N148" t="n">
        <v>2.39</v>
      </c>
      <c r="O148" t="n">
        <v>1.53</v>
      </c>
    </row>
    <row r="149">
      <c r="A149" t="inlineStr">
        <is>
          <t>MLI</t>
        </is>
      </c>
      <c r="B149" t="inlineStr">
        <is>
          <t>Quad City International Airport</t>
        </is>
      </c>
      <c r="C149" t="inlineStr">
        <is>
          <t>Moline, IL</t>
        </is>
      </c>
      <c r="D149" t="inlineStr">
        <is>
          <t>IL</t>
        </is>
      </c>
      <c r="E149" t="n">
        <v>41.448502</v>
      </c>
      <c r="F149" t="n">
        <v>-90.50749999999999</v>
      </c>
      <c r="G149" t="n">
        <v>1339</v>
      </c>
      <c r="H149" t="n">
        <v>49</v>
      </c>
      <c r="I149" t="n">
        <v>6</v>
      </c>
      <c r="J149" t="n">
        <v>1284</v>
      </c>
      <c r="K149" t="n">
        <v>247</v>
      </c>
      <c r="L149" t="n">
        <v>80.8</v>
      </c>
      <c r="M149" t="n">
        <v>19.2</v>
      </c>
      <c r="N149" t="n">
        <v>3.66</v>
      </c>
      <c r="O149" t="n">
        <v>8.949999999999999</v>
      </c>
    </row>
    <row r="150">
      <c r="A150" t="inlineStr">
        <is>
          <t>CRP</t>
        </is>
      </c>
      <c r="B150" t="inlineStr">
        <is>
          <t>Corpus Christi International Airport</t>
        </is>
      </c>
      <c r="C150" t="inlineStr">
        <is>
          <t>Corpus Christi, TX</t>
        </is>
      </c>
      <c r="D150" t="inlineStr">
        <is>
          <t>TX</t>
        </is>
      </c>
      <c r="E150" t="n">
        <v>27.770399</v>
      </c>
      <c r="F150" t="n">
        <v>-97.501198</v>
      </c>
      <c r="G150" t="n">
        <v>1284</v>
      </c>
      <c r="H150" t="n">
        <v>19</v>
      </c>
      <c r="I150" t="n">
        <v>0</v>
      </c>
      <c r="J150" t="n">
        <v>1265</v>
      </c>
      <c r="K150" t="n">
        <v>192</v>
      </c>
      <c r="L150" t="n">
        <v>84.8</v>
      </c>
      <c r="M150" t="n">
        <v>15.2</v>
      </c>
      <c r="N150" t="n">
        <v>1.48</v>
      </c>
      <c r="O150" t="n">
        <v>3.54</v>
      </c>
    </row>
    <row r="151">
      <c r="A151" t="inlineStr">
        <is>
          <t>MTJ</t>
        </is>
      </c>
      <c r="B151" t="inlineStr">
        <is>
          <t>Montrose Regional Airport</t>
        </is>
      </c>
      <c r="C151" t="inlineStr">
        <is>
          <t>Montrose/Delta, CO</t>
        </is>
      </c>
      <c r="D151" t="inlineStr">
        <is>
          <t>CO</t>
        </is>
      </c>
      <c r="E151" t="n">
        <v>38.5098</v>
      </c>
      <c r="F151" t="n">
        <v>-107.893997</v>
      </c>
      <c r="G151" t="n">
        <v>1274</v>
      </c>
      <c r="H151" t="n">
        <v>13</v>
      </c>
      <c r="I151" t="n">
        <v>3</v>
      </c>
      <c r="J151" t="n">
        <v>1258</v>
      </c>
      <c r="K151" t="n">
        <v>249</v>
      </c>
      <c r="L151" t="n">
        <v>80.2</v>
      </c>
      <c r="M151" t="n">
        <v>19.8</v>
      </c>
      <c r="N151" t="n">
        <v>1.02</v>
      </c>
      <c r="O151" t="n">
        <v>5.78</v>
      </c>
    </row>
    <row r="152">
      <c r="A152" t="inlineStr">
        <is>
          <t>MRY</t>
        </is>
      </c>
      <c r="B152" t="inlineStr">
        <is>
          <t>Monterey Regional Airport</t>
        </is>
      </c>
      <c r="C152" t="inlineStr">
        <is>
          <t>Monterey, CA</t>
        </is>
      </c>
      <c r="D152" t="inlineStr">
        <is>
          <t>CA</t>
        </is>
      </c>
      <c r="E152" t="n">
        <v>36.586777</v>
      </c>
      <c r="F152" t="n">
        <v>-121.844183</v>
      </c>
      <c r="G152" t="n">
        <v>1257</v>
      </c>
      <c r="H152" t="n">
        <v>12</v>
      </c>
      <c r="I152" t="n">
        <v>2</v>
      </c>
      <c r="J152" t="n">
        <v>1243</v>
      </c>
      <c r="K152" t="n">
        <v>195</v>
      </c>
      <c r="L152" t="n">
        <v>84.3</v>
      </c>
      <c r="M152" t="n">
        <v>15.7</v>
      </c>
      <c r="N152" t="n">
        <v>0.95</v>
      </c>
      <c r="O152" t="n">
        <v>7.68</v>
      </c>
    </row>
    <row r="153">
      <c r="A153" t="inlineStr">
        <is>
          <t>SHV</t>
        </is>
      </c>
      <c r="B153" t="inlineStr">
        <is>
          <t>Shreveport Regional Airport</t>
        </is>
      </c>
      <c r="C153" t="inlineStr">
        <is>
          <t>Shreveport, LA</t>
        </is>
      </c>
      <c r="D153" t="inlineStr">
        <is>
          <t>LA</t>
        </is>
      </c>
      <c r="E153" t="n">
        <v>32.444747</v>
      </c>
      <c r="F153" t="n">
        <v>-93.826741</v>
      </c>
      <c r="G153" t="n">
        <v>1249</v>
      </c>
      <c r="H153" t="n">
        <v>38</v>
      </c>
      <c r="I153" t="n">
        <v>1</v>
      </c>
      <c r="J153" t="n">
        <v>1210</v>
      </c>
      <c r="K153" t="n">
        <v>218</v>
      </c>
      <c r="L153" t="n">
        <v>82</v>
      </c>
      <c r="M153" t="n">
        <v>18</v>
      </c>
      <c r="N153" t="n">
        <v>3.04</v>
      </c>
      <c r="O153" t="n">
        <v>10.29</v>
      </c>
    </row>
    <row r="154">
      <c r="A154" t="inlineStr">
        <is>
          <t>AGS</t>
        </is>
      </c>
      <c r="B154" t="inlineStr">
        <is>
          <t>Augusta Regional At Bush Field</t>
        </is>
      </c>
      <c r="C154" t="inlineStr">
        <is>
          <t>Augusta, GA</t>
        </is>
      </c>
      <c r="D154" t="inlineStr">
        <is>
          <t>GA</t>
        </is>
      </c>
      <c r="E154" t="n">
        <v>33.3699</v>
      </c>
      <c r="F154" t="n">
        <v>-81.9645</v>
      </c>
      <c r="G154" t="n">
        <v>1224</v>
      </c>
      <c r="H154" t="n">
        <v>7</v>
      </c>
      <c r="I154" t="n">
        <v>2</v>
      </c>
      <c r="J154" t="n">
        <v>1215</v>
      </c>
      <c r="K154" t="n">
        <v>260</v>
      </c>
      <c r="L154" t="n">
        <v>78.59999999999999</v>
      </c>
      <c r="M154" t="n">
        <v>21.4</v>
      </c>
      <c r="N154" t="n">
        <v>0.57</v>
      </c>
      <c r="O154" t="n">
        <v>11.14</v>
      </c>
    </row>
    <row r="155">
      <c r="A155" t="inlineStr">
        <is>
          <t>RAP</t>
        </is>
      </c>
      <c r="B155" t="inlineStr">
        <is>
          <t>Rapid City Regional Airport</t>
        </is>
      </c>
      <c r="C155" t="inlineStr">
        <is>
          <t>Rapid City, SD</t>
        </is>
      </c>
      <c r="D155" t="inlineStr">
        <is>
          <t>SD</t>
        </is>
      </c>
      <c r="E155" t="n">
        <v>44.0452995300293</v>
      </c>
      <c r="F155" t="n">
        <v>-103.056999206543</v>
      </c>
      <c r="G155" t="n">
        <v>1221</v>
      </c>
      <c r="H155" t="n">
        <v>26</v>
      </c>
      <c r="I155" t="n">
        <v>5</v>
      </c>
      <c r="J155" t="n">
        <v>1190</v>
      </c>
      <c r="K155" t="n">
        <v>213</v>
      </c>
      <c r="L155" t="n">
        <v>82.09999999999999</v>
      </c>
      <c r="M155" t="n">
        <v>17.9</v>
      </c>
      <c r="N155" t="n">
        <v>2.13</v>
      </c>
      <c r="O155" t="n">
        <v>8.130000000000001</v>
      </c>
    </row>
    <row r="156">
      <c r="A156" t="inlineStr">
        <is>
          <t>ACY</t>
        </is>
      </c>
      <c r="B156" t="inlineStr">
        <is>
          <t>Atlantic City International Airport</t>
        </is>
      </c>
      <c r="C156" t="inlineStr">
        <is>
          <t>Atlantic City, NJ</t>
        </is>
      </c>
      <c r="D156" t="inlineStr">
        <is>
          <t>NJ</t>
        </is>
      </c>
      <c r="E156" t="n">
        <v>39.456201</v>
      </c>
      <c r="F156" t="n">
        <v>-74.577511</v>
      </c>
      <c r="G156" t="n">
        <v>1170</v>
      </c>
      <c r="H156" t="n">
        <v>17</v>
      </c>
      <c r="I156" t="n">
        <v>3</v>
      </c>
      <c r="J156" t="n">
        <v>1150</v>
      </c>
      <c r="K156" t="n">
        <v>251</v>
      </c>
      <c r="L156" t="n">
        <v>78.2</v>
      </c>
      <c r="M156" t="n">
        <v>21.8</v>
      </c>
      <c r="N156" t="n">
        <v>1.45</v>
      </c>
      <c r="O156" t="n">
        <v>4.6</v>
      </c>
    </row>
    <row r="157">
      <c r="A157" t="inlineStr">
        <is>
          <t>MFE</t>
        </is>
      </c>
      <c r="B157" t="inlineStr">
        <is>
          <t>McAllen Miller International Airport</t>
        </is>
      </c>
      <c r="C157" t="inlineStr">
        <is>
          <t>Mission/McAllen/Edinburg, TX</t>
        </is>
      </c>
      <c r="D157" t="inlineStr">
        <is>
          <t>TX</t>
        </is>
      </c>
      <c r="E157" t="n">
        <v>26.176141</v>
      </c>
      <c r="F157" t="n">
        <v>-98.237965</v>
      </c>
      <c r="G157" t="n">
        <v>1169</v>
      </c>
      <c r="H157" t="n">
        <v>23</v>
      </c>
      <c r="I157" t="n">
        <v>1</v>
      </c>
      <c r="J157" t="n">
        <v>1145</v>
      </c>
      <c r="K157" t="n">
        <v>230</v>
      </c>
      <c r="L157" t="n">
        <v>79.90000000000001</v>
      </c>
      <c r="M157" t="n">
        <v>20.1</v>
      </c>
      <c r="N157" t="n">
        <v>1.97</v>
      </c>
      <c r="O157" t="n">
        <v>10.77</v>
      </c>
    </row>
    <row r="158">
      <c r="A158" t="inlineStr">
        <is>
          <t>PIA</t>
        </is>
      </c>
      <c r="B158" t="inlineStr">
        <is>
          <t>General Wayne A. Downing Peoria International Airport</t>
        </is>
      </c>
      <c r="C158" t="inlineStr">
        <is>
          <t>Peoria, IL</t>
        </is>
      </c>
      <c r="D158" t="inlineStr">
        <is>
          <t>IL</t>
        </is>
      </c>
      <c r="E158" t="n">
        <v>40.663841</v>
      </c>
      <c r="F158" t="n">
        <v>-89.69263100000001</v>
      </c>
      <c r="G158" t="n">
        <v>1168</v>
      </c>
      <c r="H158" t="n">
        <v>36</v>
      </c>
      <c r="I158" t="n">
        <v>2</v>
      </c>
      <c r="J158" t="n">
        <v>1130</v>
      </c>
      <c r="K158" t="n">
        <v>243</v>
      </c>
      <c r="L158" t="n">
        <v>78.5</v>
      </c>
      <c r="M158" t="n">
        <v>21.5</v>
      </c>
      <c r="N158" t="n">
        <v>3.08</v>
      </c>
      <c r="O158" t="n">
        <v>8</v>
      </c>
    </row>
    <row r="159">
      <c r="A159" t="inlineStr">
        <is>
          <t>BIL</t>
        </is>
      </c>
      <c r="B159" t="inlineStr">
        <is>
          <t>Billings Logan International Airport</t>
        </is>
      </c>
      <c r="C159" t="inlineStr">
        <is>
          <t>Billings, MT</t>
        </is>
      </c>
      <c r="D159" t="inlineStr">
        <is>
          <t>MT</t>
        </is>
      </c>
      <c r="E159" t="n">
        <v>45.808932</v>
      </c>
      <c r="F159" t="n">
        <v>-108.541242</v>
      </c>
      <c r="G159" t="n">
        <v>1123</v>
      </c>
      <c r="H159" t="n">
        <v>8</v>
      </c>
      <c r="I159" t="n">
        <v>1</v>
      </c>
      <c r="J159" t="n">
        <v>1114</v>
      </c>
      <c r="K159" t="n">
        <v>199</v>
      </c>
      <c r="L159" t="n">
        <v>82.09999999999999</v>
      </c>
      <c r="M159" t="n">
        <v>17.9</v>
      </c>
      <c r="N159" t="n">
        <v>0.71</v>
      </c>
      <c r="O159" t="n">
        <v>3.21</v>
      </c>
    </row>
    <row r="160">
      <c r="A160" t="inlineStr">
        <is>
          <t>GJT</t>
        </is>
      </c>
      <c r="B160" t="inlineStr">
        <is>
          <t>Grand Junction Regional Airport</t>
        </is>
      </c>
      <c r="C160" t="inlineStr">
        <is>
          <t>Grand Junction, CO</t>
        </is>
      </c>
      <c r="D160" t="inlineStr">
        <is>
          <t>CO</t>
        </is>
      </c>
      <c r="E160" t="n">
        <v>39.126663</v>
      </c>
      <c r="F160" t="n">
        <v>-108.529387</v>
      </c>
      <c r="G160" t="n">
        <v>1110</v>
      </c>
      <c r="H160" t="n">
        <v>13</v>
      </c>
      <c r="I160" t="n">
        <v>2</v>
      </c>
      <c r="J160" t="n">
        <v>1095</v>
      </c>
      <c r="K160" t="n">
        <v>198</v>
      </c>
      <c r="L160" t="n">
        <v>81.90000000000001</v>
      </c>
      <c r="M160" t="n">
        <v>18.1</v>
      </c>
      <c r="N160" t="n">
        <v>1.17</v>
      </c>
      <c r="O160" t="n">
        <v>5.58</v>
      </c>
    </row>
    <row r="161">
      <c r="A161" t="inlineStr">
        <is>
          <t>BIS</t>
        </is>
      </c>
      <c r="B161" t="inlineStr">
        <is>
          <t>Bismarck Municipal Airport</t>
        </is>
      </c>
      <c r="C161" t="inlineStr">
        <is>
          <t>Bismarck/Mandan, ND</t>
        </is>
      </c>
      <c r="D161" t="inlineStr">
        <is>
          <t>ND</t>
        </is>
      </c>
      <c r="E161" t="n">
        <v>46.772734</v>
      </c>
      <c r="F161" t="n">
        <v>-100.746874</v>
      </c>
      <c r="G161" t="n">
        <v>1107</v>
      </c>
      <c r="H161" t="n">
        <v>19</v>
      </c>
      <c r="I161" t="n">
        <v>3</v>
      </c>
      <c r="J161" t="n">
        <v>1085</v>
      </c>
      <c r="K161" t="n">
        <v>173</v>
      </c>
      <c r="L161" t="n">
        <v>84.09999999999999</v>
      </c>
      <c r="M161" t="n">
        <v>15.9</v>
      </c>
      <c r="N161" t="n">
        <v>1.72</v>
      </c>
      <c r="O161" t="n">
        <v>5.46</v>
      </c>
    </row>
    <row r="162">
      <c r="A162" t="inlineStr">
        <is>
          <t>CAK</t>
        </is>
      </c>
      <c r="B162" t="inlineStr">
        <is>
          <t>Akron Canton Regional Airport</t>
        </is>
      </c>
      <c r="C162" t="inlineStr">
        <is>
          <t>Akron, OH</t>
        </is>
      </c>
      <c r="D162" t="inlineStr">
        <is>
          <t>OH</t>
        </is>
      </c>
      <c r="E162" t="n">
        <v>40.91609954833984</v>
      </c>
      <c r="F162" t="n">
        <v>-81.44219970703125</v>
      </c>
      <c r="G162" t="n">
        <v>1077</v>
      </c>
      <c r="H162" t="n">
        <v>14</v>
      </c>
      <c r="I162" t="n">
        <v>3</v>
      </c>
      <c r="J162" t="n">
        <v>1060</v>
      </c>
      <c r="K162" t="n">
        <v>192</v>
      </c>
      <c r="L162" t="n">
        <v>81.90000000000001</v>
      </c>
      <c r="M162" t="n">
        <v>18.1</v>
      </c>
      <c r="N162" t="n">
        <v>1.3</v>
      </c>
      <c r="O162" t="n">
        <v>3.61</v>
      </c>
    </row>
    <row r="163">
      <c r="A163" t="inlineStr">
        <is>
          <t>CRW</t>
        </is>
      </c>
      <c r="B163" t="inlineStr">
        <is>
          <t>Yeager Airport</t>
        </is>
      </c>
      <c r="C163" t="inlineStr">
        <is>
          <t>Charleston/Dunbar, WV</t>
        </is>
      </c>
      <c r="D163" t="inlineStr">
        <is>
          <t>WV</t>
        </is>
      </c>
      <c r="E163" t="n">
        <v>38.3731</v>
      </c>
      <c r="F163" t="n">
        <v>-81.59320099999999</v>
      </c>
      <c r="G163" t="n">
        <v>1052</v>
      </c>
      <c r="H163" t="n">
        <v>16</v>
      </c>
      <c r="I163" t="n">
        <v>2</v>
      </c>
      <c r="J163" t="n">
        <v>1034</v>
      </c>
      <c r="K163" t="n">
        <v>243</v>
      </c>
      <c r="L163" t="n">
        <v>76.5</v>
      </c>
      <c r="M163" t="n">
        <v>23.5</v>
      </c>
      <c r="N163" t="n">
        <v>1.52</v>
      </c>
      <c r="O163" t="n">
        <v>14.71</v>
      </c>
    </row>
    <row r="164">
      <c r="A164" t="inlineStr">
        <is>
          <t>DRO</t>
        </is>
      </c>
      <c r="B164" t="inlineStr">
        <is>
          <t>Durango La Plata County Airport</t>
        </is>
      </c>
      <c r="C164" t="inlineStr">
        <is>
          <t>Durango, CO</t>
        </is>
      </c>
      <c r="D164" t="inlineStr">
        <is>
          <t>CO</t>
        </is>
      </c>
      <c r="E164" t="n">
        <v>37.151501</v>
      </c>
      <c r="F164" t="n">
        <v>-107.753998</v>
      </c>
      <c r="G164" t="n">
        <v>1050</v>
      </c>
      <c r="H164" t="n">
        <v>12</v>
      </c>
      <c r="I164" t="n">
        <v>1</v>
      </c>
      <c r="J164" t="n">
        <v>1037</v>
      </c>
      <c r="K164" t="n">
        <v>218</v>
      </c>
      <c r="L164" t="n">
        <v>79</v>
      </c>
      <c r="M164" t="n">
        <v>21</v>
      </c>
      <c r="N164" t="n">
        <v>1.14</v>
      </c>
      <c r="O164" t="n">
        <v>8.720000000000001</v>
      </c>
    </row>
    <row r="165">
      <c r="A165" t="inlineStr">
        <is>
          <t>STS</t>
        </is>
      </c>
      <c r="B165" t="inlineStr">
        <is>
          <t>Charles M. Schulz Sonoma County Airport</t>
        </is>
      </c>
      <c r="C165" t="inlineStr">
        <is>
          <t>Santa Rosa, CA</t>
        </is>
      </c>
      <c r="D165" t="inlineStr">
        <is>
          <t>CA</t>
        </is>
      </c>
      <c r="E165" t="n">
        <v>38.50899887</v>
      </c>
      <c r="F165" t="n">
        <v>-122.8130035</v>
      </c>
      <c r="G165" t="n">
        <v>1026</v>
      </c>
      <c r="H165" t="n">
        <v>5</v>
      </c>
      <c r="I165" t="n">
        <v>0</v>
      </c>
      <c r="J165" t="n">
        <v>1021</v>
      </c>
      <c r="K165" t="n">
        <v>209</v>
      </c>
      <c r="L165" t="n">
        <v>79.5</v>
      </c>
      <c r="M165" t="n">
        <v>20.5</v>
      </c>
      <c r="N165" t="n">
        <v>0.49</v>
      </c>
      <c r="O165" t="n">
        <v>7.5</v>
      </c>
    </row>
    <row r="166">
      <c r="A166" t="inlineStr">
        <is>
          <t>GPT</t>
        </is>
      </c>
      <c r="B166" t="inlineStr">
        <is>
          <t>Gulfport Biloxi International Airport</t>
        </is>
      </c>
      <c r="C166" t="inlineStr">
        <is>
          <t>Gulfport/Biloxi, MS</t>
        </is>
      </c>
      <c r="D166" t="inlineStr">
        <is>
          <t>MS</t>
        </is>
      </c>
      <c r="E166" t="n">
        <v>30.405582</v>
      </c>
      <c r="F166" t="n">
        <v>-89.069836</v>
      </c>
      <c r="G166" t="n">
        <v>1024</v>
      </c>
      <c r="H166" t="n">
        <v>11</v>
      </c>
      <c r="I166" t="n">
        <v>3</v>
      </c>
      <c r="J166" t="n">
        <v>1010</v>
      </c>
      <c r="K166" t="n">
        <v>133</v>
      </c>
      <c r="L166" t="n">
        <v>86.8</v>
      </c>
      <c r="M166" t="n">
        <v>13.2</v>
      </c>
      <c r="N166" t="n">
        <v>1.07</v>
      </c>
      <c r="O166" t="n">
        <v>5.31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0" customWidth="1" min="4" max="4"/>
    <col width="21" customWidth="1" min="5" max="5"/>
    <col width="19" customWidth="1" min="6" max="6"/>
    <col width="15" customWidth="1" min="7" max="7"/>
    <col width="18" customWidth="1" min="8" max="8"/>
    <col width="25" customWidth="1" min="9" max="9"/>
    <col width="25" customWidth="1" min="10" max="10"/>
  </cols>
  <sheetData>
    <row r="1">
      <c r="A1" s="8" t="inlineStr">
        <is>
          <t>dep_hour</t>
        </is>
      </c>
      <c r="B1" s="8" t="inlineStr">
        <is>
          <t>scheduled_flights</t>
        </is>
      </c>
      <c r="C1" s="8" t="inlineStr">
        <is>
          <t>cancelled_flights</t>
        </is>
      </c>
      <c r="D1" s="8" t="inlineStr">
        <is>
          <t>diverted_flights</t>
        </is>
      </c>
      <c r="E1" s="8" t="inlineStr">
        <is>
          <t>completed_flights</t>
        </is>
      </c>
      <c r="F1" s="8" t="inlineStr">
        <is>
          <t>delayed_flights</t>
        </is>
      </c>
      <c r="G1" s="8" t="inlineStr">
        <is>
          <t>on_time_pct</t>
        </is>
      </c>
      <c r="H1" s="8" t="inlineStr">
        <is>
          <t>delay_rate_pct</t>
        </is>
      </c>
      <c r="I1" s="8" t="inlineStr">
        <is>
          <t>cancellation_rate_pct</t>
        </is>
      </c>
      <c r="J1" s="8" t="inlineStr">
        <is>
          <t>avg_arr_delay_minutes</t>
        </is>
      </c>
    </row>
    <row r="2">
      <c r="A2" t="n">
        <v>0</v>
      </c>
      <c r="B2" t="n">
        <v>3563</v>
      </c>
      <c r="C2" t="n">
        <v>41</v>
      </c>
      <c r="D2" t="n">
        <v>6</v>
      </c>
      <c r="E2" t="n">
        <v>3516</v>
      </c>
      <c r="F2" t="n">
        <v>690</v>
      </c>
      <c r="G2" t="n">
        <v>80.40000000000001</v>
      </c>
      <c r="H2" t="n">
        <v>19.6</v>
      </c>
      <c r="I2" t="n">
        <v>1.15</v>
      </c>
      <c r="J2" t="n">
        <v>6.32</v>
      </c>
    </row>
    <row r="3">
      <c r="A3" t="n">
        <v>1</v>
      </c>
      <c r="B3" t="n">
        <v>1527</v>
      </c>
      <c r="C3" t="n">
        <v>35</v>
      </c>
      <c r="D3" t="n">
        <v>2</v>
      </c>
      <c r="E3" t="n">
        <v>1490</v>
      </c>
      <c r="F3" t="n">
        <v>345</v>
      </c>
      <c r="G3" t="n">
        <v>76.90000000000001</v>
      </c>
      <c r="H3" t="n">
        <v>23.2</v>
      </c>
      <c r="I3" t="n">
        <v>2.29</v>
      </c>
      <c r="J3" t="n">
        <v>11.66</v>
      </c>
    </row>
    <row r="4">
      <c r="A4" t="n">
        <v>2</v>
      </c>
      <c r="B4" t="n">
        <v>639</v>
      </c>
      <c r="C4" t="n">
        <v>16</v>
      </c>
      <c r="D4" t="n">
        <v>1</v>
      </c>
      <c r="E4" t="n">
        <v>622</v>
      </c>
      <c r="F4" t="n">
        <v>144</v>
      </c>
      <c r="G4" t="n">
        <v>76.90000000000001</v>
      </c>
      <c r="H4" t="n">
        <v>23.2</v>
      </c>
      <c r="I4" t="n">
        <v>2.5</v>
      </c>
      <c r="J4" t="n">
        <v>6.02</v>
      </c>
    </row>
    <row r="5">
      <c r="A5" t="n">
        <v>3</v>
      </c>
      <c r="B5" t="n">
        <v>458</v>
      </c>
      <c r="C5" t="n">
        <v>7</v>
      </c>
      <c r="D5" t="n">
        <v>0</v>
      </c>
      <c r="E5" t="n">
        <v>451</v>
      </c>
      <c r="F5" t="n">
        <v>96</v>
      </c>
      <c r="G5" t="n">
        <v>78.7</v>
      </c>
      <c r="H5" t="n">
        <v>21.3</v>
      </c>
      <c r="I5" t="n">
        <v>1.53</v>
      </c>
      <c r="J5" t="n">
        <v>3.9</v>
      </c>
    </row>
    <row r="6">
      <c r="A6" t="n">
        <v>4</v>
      </c>
      <c r="B6" t="n">
        <v>257</v>
      </c>
      <c r="C6" t="n">
        <v>7</v>
      </c>
      <c r="D6" t="n">
        <v>0</v>
      </c>
      <c r="E6" t="n">
        <v>250</v>
      </c>
      <c r="F6" t="n">
        <v>57</v>
      </c>
      <c r="G6" t="n">
        <v>77.2</v>
      </c>
      <c r="H6" t="n">
        <v>22.8</v>
      </c>
      <c r="I6" t="n">
        <v>2.72</v>
      </c>
      <c r="J6" t="n">
        <v>17.03</v>
      </c>
    </row>
    <row r="7">
      <c r="A7" t="n">
        <v>5</v>
      </c>
      <c r="B7" t="n">
        <v>62835</v>
      </c>
      <c r="C7" t="n">
        <v>883</v>
      </c>
      <c r="D7" t="n">
        <v>123</v>
      </c>
      <c r="E7" t="n">
        <v>61829</v>
      </c>
      <c r="F7" t="n">
        <v>6006</v>
      </c>
      <c r="G7" t="n">
        <v>90.3</v>
      </c>
      <c r="H7" t="n">
        <v>9.699999999999999</v>
      </c>
      <c r="I7" t="n">
        <v>1.41</v>
      </c>
      <c r="J7" t="n">
        <v>-1.88</v>
      </c>
    </row>
    <row r="8">
      <c r="A8" t="n">
        <v>6</v>
      </c>
      <c r="B8" t="n">
        <v>160642</v>
      </c>
      <c r="C8" t="n">
        <v>2196</v>
      </c>
      <c r="D8" t="n">
        <v>310</v>
      </c>
      <c r="E8" t="n">
        <v>158136</v>
      </c>
      <c r="F8" t="n">
        <v>16217</v>
      </c>
      <c r="G8" t="n">
        <v>89.7</v>
      </c>
      <c r="H8" t="n">
        <v>10.3</v>
      </c>
      <c r="I8" t="n">
        <v>1.37</v>
      </c>
      <c r="J8" t="n">
        <v>-2.45</v>
      </c>
    </row>
    <row r="9">
      <c r="A9" t="n">
        <v>7</v>
      </c>
      <c r="B9" t="n">
        <v>154043</v>
      </c>
      <c r="C9" t="n">
        <v>2228</v>
      </c>
      <c r="D9" t="n">
        <v>360</v>
      </c>
      <c r="E9" t="n">
        <v>151455</v>
      </c>
      <c r="F9" t="n">
        <v>19468</v>
      </c>
      <c r="G9" t="n">
        <v>87.2</v>
      </c>
      <c r="H9" t="n">
        <v>12.9</v>
      </c>
      <c r="I9" t="n">
        <v>1.45</v>
      </c>
      <c r="J9" t="n">
        <v>-0.6</v>
      </c>
    </row>
    <row r="10">
      <c r="A10" t="n">
        <v>8</v>
      </c>
      <c r="B10" t="n">
        <v>149784</v>
      </c>
      <c r="C10" t="n">
        <v>1932</v>
      </c>
      <c r="D10" t="n">
        <v>470</v>
      </c>
      <c r="E10" t="n">
        <v>147382</v>
      </c>
      <c r="F10" t="n">
        <v>21010</v>
      </c>
      <c r="G10" t="n">
        <v>85.7</v>
      </c>
      <c r="H10" t="n">
        <v>14.3</v>
      </c>
      <c r="I10" t="n">
        <v>1.29</v>
      </c>
      <c r="J10" t="n">
        <v>0.01</v>
      </c>
    </row>
    <row r="11">
      <c r="A11" t="n">
        <v>9</v>
      </c>
      <c r="B11" t="n">
        <v>124705</v>
      </c>
      <c r="C11" t="n">
        <v>1620</v>
      </c>
      <c r="D11" t="n">
        <v>353</v>
      </c>
      <c r="E11" t="n">
        <v>122732</v>
      </c>
      <c r="F11" t="n">
        <v>19710</v>
      </c>
      <c r="G11" t="n">
        <v>83.90000000000001</v>
      </c>
      <c r="H11" t="n">
        <v>16.1</v>
      </c>
      <c r="I11" t="n">
        <v>1.3</v>
      </c>
      <c r="J11" t="n">
        <v>1.63</v>
      </c>
    </row>
    <row r="12">
      <c r="A12" t="n">
        <v>10</v>
      </c>
      <c r="B12" t="n">
        <v>141637</v>
      </c>
      <c r="C12" t="n">
        <v>1913</v>
      </c>
      <c r="D12" t="n">
        <v>330</v>
      </c>
      <c r="E12" t="n">
        <v>139394</v>
      </c>
      <c r="F12" t="n">
        <v>23826</v>
      </c>
      <c r="G12" t="n">
        <v>82.90000000000001</v>
      </c>
      <c r="H12" t="n">
        <v>17.1</v>
      </c>
      <c r="I12" t="n">
        <v>1.35</v>
      </c>
      <c r="J12" t="n">
        <v>2.66</v>
      </c>
    </row>
    <row r="13">
      <c r="A13" t="n">
        <v>11</v>
      </c>
      <c r="B13" t="n">
        <v>136098</v>
      </c>
      <c r="C13" t="n">
        <v>1687</v>
      </c>
      <c r="D13" t="n">
        <v>289</v>
      </c>
      <c r="E13" t="n">
        <v>134122</v>
      </c>
      <c r="F13" t="n">
        <v>24309</v>
      </c>
      <c r="G13" t="n">
        <v>81.90000000000001</v>
      </c>
      <c r="H13" t="n">
        <v>18.1</v>
      </c>
      <c r="I13" t="n">
        <v>1.24</v>
      </c>
      <c r="J13" t="n">
        <v>3.74</v>
      </c>
    </row>
    <row r="14">
      <c r="A14" t="n">
        <v>12</v>
      </c>
      <c r="B14" t="n">
        <v>135106</v>
      </c>
      <c r="C14" t="n">
        <v>1812</v>
      </c>
      <c r="D14" t="n">
        <v>344</v>
      </c>
      <c r="E14" t="n">
        <v>132950</v>
      </c>
      <c r="F14" t="n">
        <v>25569</v>
      </c>
      <c r="G14" t="n">
        <v>80.8</v>
      </c>
      <c r="H14" t="n">
        <v>19.2</v>
      </c>
      <c r="I14" t="n">
        <v>1.34</v>
      </c>
      <c r="J14" t="n">
        <v>5.15</v>
      </c>
    </row>
    <row r="15">
      <c r="A15" t="n">
        <v>13</v>
      </c>
      <c r="B15" t="n">
        <v>135410</v>
      </c>
      <c r="C15" t="n">
        <v>1898</v>
      </c>
      <c r="D15" t="n">
        <v>323</v>
      </c>
      <c r="E15" t="n">
        <v>133189</v>
      </c>
      <c r="F15" t="n">
        <v>28018</v>
      </c>
      <c r="G15" t="n">
        <v>79</v>
      </c>
      <c r="H15" t="n">
        <v>21</v>
      </c>
      <c r="I15" t="n">
        <v>1.4</v>
      </c>
      <c r="J15" t="n">
        <v>7.16</v>
      </c>
    </row>
    <row r="16">
      <c r="A16" t="n">
        <v>14</v>
      </c>
      <c r="B16" t="n">
        <v>127597</v>
      </c>
      <c r="C16" t="n">
        <v>1886</v>
      </c>
      <c r="D16" t="n">
        <v>297</v>
      </c>
      <c r="E16" t="n">
        <v>125414</v>
      </c>
      <c r="F16" t="n">
        <v>28044</v>
      </c>
      <c r="G16" t="n">
        <v>77.59999999999999</v>
      </c>
      <c r="H16" t="n">
        <v>22.4</v>
      </c>
      <c r="I16" t="n">
        <v>1.48</v>
      </c>
      <c r="J16" t="n">
        <v>8.23</v>
      </c>
    </row>
    <row r="17">
      <c r="A17" t="n">
        <v>15</v>
      </c>
      <c r="B17" t="n">
        <v>130839</v>
      </c>
      <c r="C17" t="n">
        <v>1737</v>
      </c>
      <c r="D17" t="n">
        <v>278</v>
      </c>
      <c r="E17" t="n">
        <v>128824</v>
      </c>
      <c r="F17" t="n">
        <v>30160</v>
      </c>
      <c r="G17" t="n">
        <v>76.59999999999999</v>
      </c>
      <c r="H17" t="n">
        <v>23.4</v>
      </c>
      <c r="I17" t="n">
        <v>1.33</v>
      </c>
      <c r="J17" t="n">
        <v>9.050000000000001</v>
      </c>
    </row>
    <row r="18">
      <c r="A18" t="n">
        <v>16</v>
      </c>
      <c r="B18" t="n">
        <v>131261</v>
      </c>
      <c r="C18" t="n">
        <v>2150</v>
      </c>
      <c r="D18" t="n">
        <v>277</v>
      </c>
      <c r="E18" t="n">
        <v>128834</v>
      </c>
      <c r="F18" t="n">
        <v>32406</v>
      </c>
      <c r="G18" t="n">
        <v>74.90000000000001</v>
      </c>
      <c r="H18" t="n">
        <v>25.2</v>
      </c>
      <c r="I18" t="n">
        <v>1.64</v>
      </c>
      <c r="J18" t="n">
        <v>10.54</v>
      </c>
    </row>
    <row r="19">
      <c r="A19" t="n">
        <v>17</v>
      </c>
      <c r="B19" t="n">
        <v>140660</v>
      </c>
      <c r="C19" t="n">
        <v>2165</v>
      </c>
      <c r="D19" t="n">
        <v>285</v>
      </c>
      <c r="E19" t="n">
        <v>138210</v>
      </c>
      <c r="F19" t="n">
        <v>34906</v>
      </c>
      <c r="G19" t="n">
        <v>74.7</v>
      </c>
      <c r="H19" t="n">
        <v>25.3</v>
      </c>
      <c r="I19" t="n">
        <v>1.54</v>
      </c>
      <c r="J19" t="n">
        <v>10.62</v>
      </c>
    </row>
    <row r="20">
      <c r="A20" t="n">
        <v>18</v>
      </c>
      <c r="B20" t="n">
        <v>139550</v>
      </c>
      <c r="C20" t="n">
        <v>2383</v>
      </c>
      <c r="D20" t="n">
        <v>227</v>
      </c>
      <c r="E20" t="n">
        <v>136940</v>
      </c>
      <c r="F20" t="n">
        <v>36762</v>
      </c>
      <c r="G20" t="n">
        <v>73.2</v>
      </c>
      <c r="H20" t="n">
        <v>26.9</v>
      </c>
      <c r="I20" t="n">
        <v>1.71</v>
      </c>
      <c r="J20" t="n">
        <v>11.86</v>
      </c>
    </row>
    <row r="21">
      <c r="A21" t="n">
        <v>19</v>
      </c>
      <c r="B21" t="n">
        <v>123065</v>
      </c>
      <c r="C21" t="n">
        <v>2088</v>
      </c>
      <c r="D21" t="n">
        <v>224</v>
      </c>
      <c r="E21" t="n">
        <v>120753</v>
      </c>
      <c r="F21" t="n">
        <v>33277</v>
      </c>
      <c r="G21" t="n">
        <v>72.40000000000001</v>
      </c>
      <c r="H21" t="n">
        <v>27.6</v>
      </c>
      <c r="I21" t="n">
        <v>1.7</v>
      </c>
      <c r="J21" t="n">
        <v>12.18</v>
      </c>
    </row>
    <row r="22">
      <c r="A22" t="n">
        <v>20</v>
      </c>
      <c r="B22" t="n">
        <v>98139</v>
      </c>
      <c r="C22" t="n">
        <v>1752</v>
      </c>
      <c r="D22" t="n">
        <v>167</v>
      </c>
      <c r="E22" t="n">
        <v>96220</v>
      </c>
      <c r="F22" t="n">
        <v>26325</v>
      </c>
      <c r="G22" t="n">
        <v>72.59999999999999</v>
      </c>
      <c r="H22" t="n">
        <v>27.4</v>
      </c>
      <c r="I22" t="n">
        <v>1.79</v>
      </c>
      <c r="J22" t="n">
        <v>11.56</v>
      </c>
    </row>
    <row r="23">
      <c r="A23" t="n">
        <v>21</v>
      </c>
      <c r="B23" t="n">
        <v>75781</v>
      </c>
      <c r="C23" t="n">
        <v>1136</v>
      </c>
      <c r="D23" t="n">
        <v>154</v>
      </c>
      <c r="E23" t="n">
        <v>74491</v>
      </c>
      <c r="F23" t="n">
        <v>18160</v>
      </c>
      <c r="G23" t="n">
        <v>75.59999999999999</v>
      </c>
      <c r="H23" t="n">
        <v>24.4</v>
      </c>
      <c r="I23" t="n">
        <v>1.5</v>
      </c>
      <c r="J23" t="n">
        <v>9.94</v>
      </c>
    </row>
    <row r="24">
      <c r="A24" t="n">
        <v>22</v>
      </c>
      <c r="B24" t="n">
        <v>49537</v>
      </c>
      <c r="C24" t="n">
        <v>720</v>
      </c>
      <c r="D24" t="n">
        <v>88</v>
      </c>
      <c r="E24" t="n">
        <v>48729</v>
      </c>
      <c r="F24" t="n">
        <v>11596</v>
      </c>
      <c r="G24" t="n">
        <v>76.2</v>
      </c>
      <c r="H24" t="n">
        <v>23.8</v>
      </c>
      <c r="I24" t="n">
        <v>1.45</v>
      </c>
      <c r="J24" t="n">
        <v>9.15</v>
      </c>
    </row>
    <row r="25">
      <c r="A25" t="n">
        <v>23</v>
      </c>
      <c r="B25" t="n">
        <v>17311</v>
      </c>
      <c r="C25" t="n">
        <v>254</v>
      </c>
      <c r="D25" t="n">
        <v>23</v>
      </c>
      <c r="E25" t="n">
        <v>17034</v>
      </c>
      <c r="F25" t="n">
        <v>3325</v>
      </c>
      <c r="G25" t="n">
        <v>80.5</v>
      </c>
      <c r="H25" t="n">
        <v>19.5</v>
      </c>
      <c r="I25" t="n">
        <v>1.47</v>
      </c>
      <c r="J25" t="n">
        <v>3.55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2" customWidth="1" min="4" max="4"/>
    <col width="21" customWidth="1" min="5" max="5"/>
    <col width="21" customWidth="1" min="6" max="6"/>
    <col width="20" customWidth="1" min="7" max="7"/>
    <col width="21" customWidth="1" min="8" max="8"/>
    <col width="19" customWidth="1" min="9" max="9"/>
    <col width="15" customWidth="1" min="10" max="10"/>
    <col width="18" customWidth="1" min="11" max="11"/>
    <col width="25" customWidth="1" min="12" max="12"/>
    <col width="25" customWidth="1" min="13" max="13"/>
  </cols>
  <sheetData>
    <row r="1">
      <c r="A1" s="8" t="inlineStr">
        <is>
          <t>flight_month</t>
        </is>
      </c>
      <c r="B1" s="8" t="inlineStr">
        <is>
          <t>month_name</t>
        </is>
      </c>
      <c r="C1" s="8" t="inlineStr">
        <is>
          <t>day_of_week</t>
        </is>
      </c>
      <c r="D1" s="8" t="inlineStr">
        <is>
          <t>day_name</t>
        </is>
      </c>
      <c r="E1" s="8" t="inlineStr">
        <is>
          <t>scheduled_flights</t>
        </is>
      </c>
      <c r="F1" s="8" t="inlineStr">
        <is>
          <t>cancelled_flights</t>
        </is>
      </c>
      <c r="G1" s="8" t="inlineStr">
        <is>
          <t>diverted_flights</t>
        </is>
      </c>
      <c r="H1" s="8" t="inlineStr">
        <is>
          <t>completed_flights</t>
        </is>
      </c>
      <c r="I1" s="8" t="inlineStr">
        <is>
          <t>delayed_flights</t>
        </is>
      </c>
      <c r="J1" s="8" t="inlineStr">
        <is>
          <t>on_time_pct</t>
        </is>
      </c>
      <c r="K1" s="8" t="inlineStr">
        <is>
          <t>delay_rate_pct</t>
        </is>
      </c>
      <c r="L1" s="8" t="inlineStr">
        <is>
          <t>cancellation_rate_pct</t>
        </is>
      </c>
      <c r="M1" s="8" t="inlineStr">
        <is>
          <t>avg_arr_delay_minutes</t>
        </is>
      </c>
    </row>
    <row r="2">
      <c r="A2" t="n">
        <v>1</v>
      </c>
      <c r="B2" t="inlineStr">
        <is>
          <t>Jan</t>
        </is>
      </c>
      <c r="C2" t="n">
        <v>1</v>
      </c>
      <c r="D2" t="inlineStr">
        <is>
          <t>Mon</t>
        </is>
      </c>
      <c r="E2" t="n">
        <v>91299</v>
      </c>
      <c r="F2" t="n">
        <v>4561</v>
      </c>
      <c r="G2" t="n">
        <v>302</v>
      </c>
      <c r="H2" t="n">
        <v>86436</v>
      </c>
      <c r="I2" t="n">
        <v>21578</v>
      </c>
      <c r="J2" t="n">
        <v>75</v>
      </c>
      <c r="K2" t="n">
        <v>25</v>
      </c>
      <c r="L2" t="n">
        <v>5</v>
      </c>
      <c r="M2" t="n">
        <v>13.37</v>
      </c>
    </row>
    <row r="3">
      <c r="A3" t="n">
        <v>1</v>
      </c>
      <c r="B3" t="inlineStr">
        <is>
          <t>Jan</t>
        </is>
      </c>
      <c r="C3" t="n">
        <v>2</v>
      </c>
      <c r="D3" t="inlineStr">
        <is>
          <t>Tue</t>
        </is>
      </c>
      <c r="E3" t="n">
        <v>85106</v>
      </c>
      <c r="F3" t="n">
        <v>3993</v>
      </c>
      <c r="G3" t="n">
        <v>369</v>
      </c>
      <c r="H3" t="n">
        <v>80744</v>
      </c>
      <c r="I3" t="n">
        <v>22875</v>
      </c>
      <c r="J3" t="n">
        <v>71.7</v>
      </c>
      <c r="K3" t="n">
        <v>28.3</v>
      </c>
      <c r="L3" t="n">
        <v>4.69</v>
      </c>
      <c r="M3" t="n">
        <v>16.26</v>
      </c>
    </row>
    <row r="4">
      <c r="A4" t="n">
        <v>1</v>
      </c>
      <c r="B4" t="inlineStr">
        <is>
          <t>Jan</t>
        </is>
      </c>
      <c r="C4" t="n">
        <v>3</v>
      </c>
      <c r="D4" t="inlineStr">
        <is>
          <t>Wed</t>
        </is>
      </c>
      <c r="E4" t="n">
        <v>85719</v>
      </c>
      <c r="F4" t="n">
        <v>2209</v>
      </c>
      <c r="G4" t="n">
        <v>171</v>
      </c>
      <c r="H4" t="n">
        <v>83339</v>
      </c>
      <c r="I4" t="n">
        <v>15946</v>
      </c>
      <c r="J4" t="n">
        <v>80.90000000000001</v>
      </c>
      <c r="K4" t="n">
        <v>19.1</v>
      </c>
      <c r="L4" t="n">
        <v>2.58</v>
      </c>
      <c r="M4" t="n">
        <v>4.42</v>
      </c>
    </row>
    <row r="5">
      <c r="A5" t="n">
        <v>1</v>
      </c>
      <c r="B5" t="inlineStr">
        <is>
          <t>Jan</t>
        </is>
      </c>
      <c r="C5" t="n">
        <v>4</v>
      </c>
      <c r="D5" t="inlineStr">
        <is>
          <t>Thu</t>
        </is>
      </c>
      <c r="E5" t="n">
        <v>73913</v>
      </c>
      <c r="F5" t="n">
        <v>1857</v>
      </c>
      <c r="G5" t="n">
        <v>177</v>
      </c>
      <c r="H5" t="n">
        <v>71879</v>
      </c>
      <c r="I5" t="n">
        <v>13563</v>
      </c>
      <c r="J5" t="n">
        <v>81.09999999999999</v>
      </c>
      <c r="K5" t="n">
        <v>18.9</v>
      </c>
      <c r="L5" t="n">
        <v>2.51</v>
      </c>
      <c r="M5" t="n">
        <v>3.71</v>
      </c>
    </row>
    <row r="6">
      <c r="A6" t="n">
        <v>1</v>
      </c>
      <c r="B6" t="inlineStr">
        <is>
          <t>Jan</t>
        </is>
      </c>
      <c r="C6" t="n">
        <v>5</v>
      </c>
      <c r="D6" t="inlineStr">
        <is>
          <t>Fri</t>
        </is>
      </c>
      <c r="E6" t="n">
        <v>74105</v>
      </c>
      <c r="F6" t="n">
        <v>3323</v>
      </c>
      <c r="G6" t="n">
        <v>174</v>
      </c>
      <c r="H6" t="n">
        <v>70608</v>
      </c>
      <c r="I6" t="n">
        <v>19039</v>
      </c>
      <c r="J6" t="n">
        <v>73</v>
      </c>
      <c r="K6" t="n">
        <v>27</v>
      </c>
      <c r="L6" t="n">
        <v>4.48</v>
      </c>
      <c r="M6" t="n">
        <v>13.43</v>
      </c>
    </row>
    <row r="7">
      <c r="A7" t="n">
        <v>1</v>
      </c>
      <c r="B7" t="inlineStr">
        <is>
          <t>Jan</t>
        </is>
      </c>
      <c r="C7" t="n">
        <v>6</v>
      </c>
      <c r="D7" t="inlineStr">
        <is>
          <t>Sat</t>
        </is>
      </c>
      <c r="E7" t="n">
        <v>63514</v>
      </c>
      <c r="F7" t="n">
        <v>1985</v>
      </c>
      <c r="G7" t="n">
        <v>160</v>
      </c>
      <c r="H7" t="n">
        <v>61369</v>
      </c>
      <c r="I7" t="n">
        <v>15287</v>
      </c>
      <c r="J7" t="n">
        <v>75.09999999999999</v>
      </c>
      <c r="K7" t="n">
        <v>24.9</v>
      </c>
      <c r="L7" t="n">
        <v>3.13</v>
      </c>
      <c r="M7" t="n">
        <v>10.01</v>
      </c>
    </row>
    <row r="8">
      <c r="A8" t="n">
        <v>1</v>
      </c>
      <c r="B8" t="inlineStr">
        <is>
          <t>Jan</t>
        </is>
      </c>
      <c r="C8" t="n">
        <v>7</v>
      </c>
      <c r="D8" t="inlineStr">
        <is>
          <t>Sun</t>
        </is>
      </c>
      <c r="E8" t="n">
        <v>73615</v>
      </c>
      <c r="F8" t="n">
        <v>2461</v>
      </c>
      <c r="G8" t="n">
        <v>159</v>
      </c>
      <c r="H8" t="n">
        <v>70995</v>
      </c>
      <c r="I8" t="n">
        <v>18122</v>
      </c>
      <c r="J8" t="n">
        <v>74.5</v>
      </c>
      <c r="K8" t="n">
        <v>25.5</v>
      </c>
      <c r="L8" t="n">
        <v>3.34</v>
      </c>
      <c r="M8" t="n">
        <v>10.9</v>
      </c>
    </row>
    <row r="9">
      <c r="A9" t="n">
        <v>2</v>
      </c>
      <c r="B9" t="inlineStr">
        <is>
          <t>Feb</t>
        </is>
      </c>
      <c r="C9" t="n">
        <v>1</v>
      </c>
      <c r="D9" t="inlineStr">
        <is>
          <t>Mon</t>
        </is>
      </c>
      <c r="E9" t="n">
        <v>74763</v>
      </c>
      <c r="F9" t="n">
        <v>344</v>
      </c>
      <c r="G9" t="n">
        <v>107</v>
      </c>
      <c r="H9" t="n">
        <v>74312</v>
      </c>
      <c r="I9" t="n">
        <v>13101</v>
      </c>
      <c r="J9" t="n">
        <v>82.40000000000001</v>
      </c>
      <c r="K9" t="n">
        <v>17.6</v>
      </c>
      <c r="L9" t="n">
        <v>0.46</v>
      </c>
      <c r="M9" t="n">
        <v>1.85</v>
      </c>
    </row>
    <row r="10">
      <c r="A10" t="n">
        <v>2</v>
      </c>
      <c r="B10" t="inlineStr">
        <is>
          <t>Feb</t>
        </is>
      </c>
      <c r="C10" t="n">
        <v>2</v>
      </c>
      <c r="D10" t="inlineStr">
        <is>
          <t>Tue</t>
        </is>
      </c>
      <c r="E10" t="n">
        <v>67754</v>
      </c>
      <c r="F10" t="n">
        <v>1164</v>
      </c>
      <c r="G10" t="n">
        <v>238</v>
      </c>
      <c r="H10" t="n">
        <v>66352</v>
      </c>
      <c r="I10" t="n">
        <v>9296</v>
      </c>
      <c r="J10" t="n">
        <v>86</v>
      </c>
      <c r="K10" t="n">
        <v>14</v>
      </c>
      <c r="L10" t="n">
        <v>1.72</v>
      </c>
      <c r="M10" t="n">
        <v>-1.22</v>
      </c>
    </row>
    <row r="11">
      <c r="A11" t="n">
        <v>2</v>
      </c>
      <c r="B11" t="inlineStr">
        <is>
          <t>Feb</t>
        </is>
      </c>
      <c r="C11" t="n">
        <v>3</v>
      </c>
      <c r="D11" t="inlineStr">
        <is>
          <t>Wed</t>
        </is>
      </c>
      <c r="E11" t="n">
        <v>69201</v>
      </c>
      <c r="F11" t="n">
        <v>107</v>
      </c>
      <c r="G11" t="n">
        <v>59</v>
      </c>
      <c r="H11" t="n">
        <v>69035</v>
      </c>
      <c r="I11" t="n">
        <v>8897</v>
      </c>
      <c r="J11" t="n">
        <v>87.09999999999999</v>
      </c>
      <c r="K11" t="n">
        <v>12.9</v>
      </c>
      <c r="L11" t="n">
        <v>0.15</v>
      </c>
      <c r="M11" t="n">
        <v>-2.86</v>
      </c>
    </row>
    <row r="12">
      <c r="A12" t="n">
        <v>2</v>
      </c>
      <c r="B12" t="inlineStr">
        <is>
          <t>Feb</t>
        </is>
      </c>
      <c r="C12" t="n">
        <v>4</v>
      </c>
      <c r="D12" t="inlineStr">
        <is>
          <t>Thu</t>
        </is>
      </c>
      <c r="E12" t="n">
        <v>94211</v>
      </c>
      <c r="F12" t="n">
        <v>352</v>
      </c>
      <c r="G12" t="n">
        <v>103</v>
      </c>
      <c r="H12" t="n">
        <v>93756</v>
      </c>
      <c r="I12" t="n">
        <v>13868</v>
      </c>
      <c r="J12" t="n">
        <v>85.2</v>
      </c>
      <c r="K12" t="n">
        <v>14.8</v>
      </c>
      <c r="L12" t="n">
        <v>0.37</v>
      </c>
      <c r="M12" t="n">
        <v>-0.43</v>
      </c>
    </row>
    <row r="13">
      <c r="A13" t="n">
        <v>2</v>
      </c>
      <c r="B13" t="inlineStr">
        <is>
          <t>Feb</t>
        </is>
      </c>
      <c r="C13" t="n">
        <v>5</v>
      </c>
      <c r="D13" t="inlineStr">
        <is>
          <t>Fri</t>
        </is>
      </c>
      <c r="E13" t="n">
        <v>75377</v>
      </c>
      <c r="F13" t="n">
        <v>198</v>
      </c>
      <c r="G13" t="n">
        <v>108</v>
      </c>
      <c r="H13" t="n">
        <v>75071</v>
      </c>
      <c r="I13" t="n">
        <v>11375</v>
      </c>
      <c r="J13" t="n">
        <v>84.90000000000001</v>
      </c>
      <c r="K13" t="n">
        <v>15.2</v>
      </c>
      <c r="L13" t="n">
        <v>0.26</v>
      </c>
      <c r="M13" t="n">
        <v>-0.12</v>
      </c>
    </row>
    <row r="14">
      <c r="A14" t="n">
        <v>2</v>
      </c>
      <c r="B14" t="inlineStr">
        <is>
          <t>Feb</t>
        </is>
      </c>
      <c r="C14" t="n">
        <v>6</v>
      </c>
      <c r="D14" t="inlineStr">
        <is>
          <t>Sat</t>
        </is>
      </c>
      <c r="E14" t="n">
        <v>63965</v>
      </c>
      <c r="F14" t="n">
        <v>316</v>
      </c>
      <c r="G14" t="n">
        <v>127</v>
      </c>
      <c r="H14" t="n">
        <v>63522</v>
      </c>
      <c r="I14" t="n">
        <v>11825</v>
      </c>
      <c r="J14" t="n">
        <v>81.40000000000001</v>
      </c>
      <c r="K14" t="n">
        <v>18.6</v>
      </c>
      <c r="L14" t="n">
        <v>0.49</v>
      </c>
      <c r="M14" t="n">
        <v>2.95</v>
      </c>
    </row>
    <row r="15">
      <c r="A15" t="n">
        <v>2</v>
      </c>
      <c r="B15" t="inlineStr">
        <is>
          <t>Feb</t>
        </is>
      </c>
      <c r="C15" t="n">
        <v>7</v>
      </c>
      <c r="D15" t="inlineStr">
        <is>
          <t>Sun</t>
        </is>
      </c>
      <c r="E15" t="n">
        <v>73950</v>
      </c>
      <c r="F15" t="n">
        <v>521</v>
      </c>
      <c r="G15" t="n">
        <v>208</v>
      </c>
      <c r="H15" t="n">
        <v>73221</v>
      </c>
      <c r="I15" t="n">
        <v>13674</v>
      </c>
      <c r="J15" t="n">
        <v>81.3</v>
      </c>
      <c r="K15" t="n">
        <v>18.7</v>
      </c>
      <c r="L15" t="n">
        <v>0.7</v>
      </c>
      <c r="M15" t="n">
        <v>4.21</v>
      </c>
    </row>
    <row r="16">
      <c r="A16" t="n">
        <v>3</v>
      </c>
      <c r="B16" t="inlineStr">
        <is>
          <t>Mar</t>
        </is>
      </c>
      <c r="C16" t="n">
        <v>1</v>
      </c>
      <c r="D16" t="inlineStr">
        <is>
          <t>Mon</t>
        </is>
      </c>
      <c r="E16" t="n">
        <v>79260</v>
      </c>
      <c r="F16" t="n">
        <v>218</v>
      </c>
      <c r="G16" t="n">
        <v>107</v>
      </c>
      <c r="H16" t="n">
        <v>78935</v>
      </c>
      <c r="I16" t="n">
        <v>15012</v>
      </c>
      <c r="J16" t="n">
        <v>81</v>
      </c>
      <c r="K16" t="n">
        <v>19</v>
      </c>
      <c r="L16" t="n">
        <v>0.28</v>
      </c>
      <c r="M16" t="n">
        <v>3.84</v>
      </c>
    </row>
    <row r="17">
      <c r="A17" t="n">
        <v>3</v>
      </c>
      <c r="B17" t="inlineStr">
        <is>
          <t>Mar</t>
        </is>
      </c>
      <c r="C17" t="n">
        <v>2</v>
      </c>
      <c r="D17" t="inlineStr">
        <is>
          <t>Tue</t>
        </is>
      </c>
      <c r="E17" t="n">
        <v>73349</v>
      </c>
      <c r="F17" t="n">
        <v>95</v>
      </c>
      <c r="G17" t="n">
        <v>77</v>
      </c>
      <c r="H17" t="n">
        <v>73177</v>
      </c>
      <c r="I17" t="n">
        <v>9332</v>
      </c>
      <c r="J17" t="n">
        <v>87.3</v>
      </c>
      <c r="K17" t="n">
        <v>12.8</v>
      </c>
      <c r="L17" t="n">
        <v>0.13</v>
      </c>
      <c r="M17" t="n">
        <v>-2.16</v>
      </c>
    </row>
    <row r="18">
      <c r="A18" t="n">
        <v>3</v>
      </c>
      <c r="B18" t="inlineStr">
        <is>
          <t>Mar</t>
        </is>
      </c>
      <c r="C18" t="n">
        <v>3</v>
      </c>
      <c r="D18" t="inlineStr">
        <is>
          <t>Wed</t>
        </is>
      </c>
      <c r="E18" t="n">
        <v>74496</v>
      </c>
      <c r="F18" t="n">
        <v>273</v>
      </c>
      <c r="G18" t="n">
        <v>109</v>
      </c>
      <c r="H18" t="n">
        <v>74114</v>
      </c>
      <c r="I18" t="n">
        <v>12214</v>
      </c>
      <c r="J18" t="n">
        <v>83.5</v>
      </c>
      <c r="K18" t="n">
        <v>16.5</v>
      </c>
      <c r="L18" t="n">
        <v>0.37</v>
      </c>
      <c r="M18" t="n">
        <v>2.45</v>
      </c>
    </row>
    <row r="19">
      <c r="A19" t="n">
        <v>3</v>
      </c>
      <c r="B19" t="inlineStr">
        <is>
          <t>Mar</t>
        </is>
      </c>
      <c r="C19" t="n">
        <v>4</v>
      </c>
      <c r="D19" t="inlineStr">
        <is>
          <t>Thu</t>
        </is>
      </c>
      <c r="E19" t="n">
        <v>80196</v>
      </c>
      <c r="F19" t="n">
        <v>1555</v>
      </c>
      <c r="G19" t="n">
        <v>259</v>
      </c>
      <c r="H19" t="n">
        <v>78382</v>
      </c>
      <c r="I19" t="n">
        <v>18107</v>
      </c>
      <c r="J19" t="n">
        <v>76.90000000000001</v>
      </c>
      <c r="K19" t="n">
        <v>23.1</v>
      </c>
      <c r="L19" t="n">
        <v>1.94</v>
      </c>
      <c r="M19" t="n">
        <v>8.84</v>
      </c>
    </row>
    <row r="20">
      <c r="A20" t="n">
        <v>3</v>
      </c>
      <c r="B20" t="inlineStr">
        <is>
          <t>Mar</t>
        </is>
      </c>
      <c r="C20" t="n">
        <v>5</v>
      </c>
      <c r="D20" t="inlineStr">
        <is>
          <t>Fri</t>
        </is>
      </c>
      <c r="E20" t="n">
        <v>99425</v>
      </c>
      <c r="F20" t="n">
        <v>620</v>
      </c>
      <c r="G20" t="n">
        <v>172</v>
      </c>
      <c r="H20" t="n">
        <v>98633</v>
      </c>
      <c r="I20" t="n">
        <v>23020</v>
      </c>
      <c r="J20" t="n">
        <v>76.7</v>
      </c>
      <c r="K20" t="n">
        <v>23.3</v>
      </c>
      <c r="L20" t="n">
        <v>0.62</v>
      </c>
      <c r="M20" t="n">
        <v>8.460000000000001</v>
      </c>
    </row>
    <row r="21">
      <c r="A21" t="n">
        <v>3</v>
      </c>
      <c r="B21" t="inlineStr">
        <is>
          <t>Mar</t>
        </is>
      </c>
      <c r="C21" t="n">
        <v>6</v>
      </c>
      <c r="D21" t="inlineStr">
        <is>
          <t>Sat</t>
        </is>
      </c>
      <c r="E21" t="n">
        <v>87018</v>
      </c>
      <c r="F21" t="n">
        <v>1433</v>
      </c>
      <c r="G21" t="n">
        <v>329</v>
      </c>
      <c r="H21" t="n">
        <v>85256</v>
      </c>
      <c r="I21" t="n">
        <v>20869</v>
      </c>
      <c r="J21" t="n">
        <v>75.5</v>
      </c>
      <c r="K21" t="n">
        <v>24.5</v>
      </c>
      <c r="L21" t="n">
        <v>1.65</v>
      </c>
      <c r="M21" t="n">
        <v>12.04</v>
      </c>
    </row>
    <row r="22">
      <c r="A22" t="n">
        <v>3</v>
      </c>
      <c r="B22" t="inlineStr">
        <is>
          <t>Mar</t>
        </is>
      </c>
      <c r="C22" t="n">
        <v>7</v>
      </c>
      <c r="D22" t="inlineStr">
        <is>
          <t>Sun</t>
        </is>
      </c>
      <c r="E22" t="n">
        <v>98023</v>
      </c>
      <c r="F22" t="n">
        <v>926</v>
      </c>
      <c r="G22" t="n">
        <v>181</v>
      </c>
      <c r="H22" t="n">
        <v>96916</v>
      </c>
      <c r="I22" t="n">
        <v>23478</v>
      </c>
      <c r="J22" t="n">
        <v>75.8</v>
      </c>
      <c r="K22" t="n">
        <v>24.2</v>
      </c>
      <c r="L22" t="n">
        <v>0.9399999999999999</v>
      </c>
      <c r="M22" t="n">
        <v>9.57</v>
      </c>
    </row>
    <row r="23">
      <c r="A23" t="n">
        <v>4</v>
      </c>
      <c r="B23" t="inlineStr">
        <is>
          <t>Apr</t>
        </is>
      </c>
      <c r="C23" t="n">
        <v>1</v>
      </c>
      <c r="D23" t="inlineStr">
        <is>
          <t>Mon</t>
        </is>
      </c>
      <c r="E23" t="n">
        <v>101307</v>
      </c>
      <c r="F23" t="n">
        <v>258</v>
      </c>
      <c r="G23" t="n">
        <v>259</v>
      </c>
      <c r="H23" t="n">
        <v>100790</v>
      </c>
      <c r="I23" t="n">
        <v>16624</v>
      </c>
      <c r="J23" t="n">
        <v>83.5</v>
      </c>
      <c r="K23" t="n">
        <v>16.5</v>
      </c>
      <c r="L23" t="n">
        <v>0.25</v>
      </c>
      <c r="M23" t="n">
        <v>2.44</v>
      </c>
    </row>
    <row r="24">
      <c r="A24" t="n">
        <v>4</v>
      </c>
      <c r="B24" t="inlineStr">
        <is>
          <t>Apr</t>
        </is>
      </c>
      <c r="C24" t="n">
        <v>2</v>
      </c>
      <c r="D24" t="inlineStr">
        <is>
          <t>Tue</t>
        </is>
      </c>
      <c r="E24" t="n">
        <v>93256</v>
      </c>
      <c r="F24" t="n">
        <v>319</v>
      </c>
      <c r="G24" t="n">
        <v>132</v>
      </c>
      <c r="H24" t="n">
        <v>92805</v>
      </c>
      <c r="I24" t="n">
        <v>14077</v>
      </c>
      <c r="J24" t="n">
        <v>84.8</v>
      </c>
      <c r="K24" t="n">
        <v>15.2</v>
      </c>
      <c r="L24" t="n">
        <v>0.34</v>
      </c>
      <c r="M24" t="n">
        <v>0.64</v>
      </c>
    </row>
    <row r="25">
      <c r="A25" t="n">
        <v>4</v>
      </c>
      <c r="B25" t="inlineStr">
        <is>
          <t>Apr</t>
        </is>
      </c>
      <c r="C25" t="n">
        <v>3</v>
      </c>
      <c r="D25" t="inlineStr">
        <is>
          <t>Wed</t>
        </is>
      </c>
      <c r="E25" t="n">
        <v>75852</v>
      </c>
      <c r="F25" t="n">
        <v>1173</v>
      </c>
      <c r="G25" t="n">
        <v>201</v>
      </c>
      <c r="H25" t="n">
        <v>74478</v>
      </c>
      <c r="I25" t="n">
        <v>14844</v>
      </c>
      <c r="J25" t="n">
        <v>80.09999999999999</v>
      </c>
      <c r="K25" t="n">
        <v>19.9</v>
      </c>
      <c r="L25" t="n">
        <v>1.55</v>
      </c>
      <c r="M25" t="n">
        <v>8.35</v>
      </c>
    </row>
    <row r="26">
      <c r="A26" t="n">
        <v>4</v>
      </c>
      <c r="B26" t="inlineStr">
        <is>
          <t>Apr</t>
        </is>
      </c>
      <c r="C26" t="n">
        <v>4</v>
      </c>
      <c r="D26" t="inlineStr">
        <is>
          <t>Thu</t>
        </is>
      </c>
      <c r="E26" t="n">
        <v>81112</v>
      </c>
      <c r="F26" t="n">
        <v>798</v>
      </c>
      <c r="G26" t="n">
        <v>105</v>
      </c>
      <c r="H26" t="n">
        <v>80209</v>
      </c>
      <c r="I26" t="n">
        <v>19119</v>
      </c>
      <c r="J26" t="n">
        <v>76.2</v>
      </c>
      <c r="K26" t="n">
        <v>23.8</v>
      </c>
      <c r="L26" t="n">
        <v>0.98</v>
      </c>
      <c r="M26" t="n">
        <v>10.51</v>
      </c>
    </row>
    <row r="27">
      <c r="A27" t="n">
        <v>4</v>
      </c>
      <c r="B27" t="inlineStr">
        <is>
          <t>Apr</t>
        </is>
      </c>
      <c r="C27" t="n">
        <v>5</v>
      </c>
      <c r="D27" t="inlineStr">
        <is>
          <t>Fri</t>
        </is>
      </c>
      <c r="E27" t="n">
        <v>81288</v>
      </c>
      <c r="F27" t="n">
        <v>361</v>
      </c>
      <c r="G27" t="n">
        <v>210</v>
      </c>
      <c r="H27" t="n">
        <v>80717</v>
      </c>
      <c r="I27" t="n">
        <v>17592</v>
      </c>
      <c r="J27" t="n">
        <v>78.2</v>
      </c>
      <c r="K27" t="n">
        <v>21.8</v>
      </c>
      <c r="L27" t="n">
        <v>0.44</v>
      </c>
      <c r="M27" t="n">
        <v>8.1</v>
      </c>
    </row>
    <row r="28">
      <c r="A28" t="n">
        <v>4</v>
      </c>
      <c r="B28" t="inlineStr">
        <is>
          <t>Apr</t>
        </is>
      </c>
      <c r="C28" t="n">
        <v>6</v>
      </c>
      <c r="D28" t="inlineStr">
        <is>
          <t>Sat</t>
        </is>
      </c>
      <c r="E28" t="n">
        <v>69560</v>
      </c>
      <c r="F28" t="n">
        <v>798</v>
      </c>
      <c r="G28" t="n">
        <v>220</v>
      </c>
      <c r="H28" t="n">
        <v>68542</v>
      </c>
      <c r="I28" t="n">
        <v>12594</v>
      </c>
      <c r="J28" t="n">
        <v>81.59999999999999</v>
      </c>
      <c r="K28" t="n">
        <v>18.4</v>
      </c>
      <c r="L28" t="n">
        <v>1.15</v>
      </c>
      <c r="M28" t="n">
        <v>4.63</v>
      </c>
    </row>
    <row r="29">
      <c r="A29" t="n">
        <v>4</v>
      </c>
      <c r="B29" t="inlineStr">
        <is>
          <t>Apr</t>
        </is>
      </c>
      <c r="C29" t="n">
        <v>7</v>
      </c>
      <c r="D29" t="inlineStr">
        <is>
          <t>Sun</t>
        </is>
      </c>
      <c r="E29" t="n">
        <v>79810</v>
      </c>
      <c r="F29" t="n">
        <v>328</v>
      </c>
      <c r="G29" t="n">
        <v>108</v>
      </c>
      <c r="H29" t="n">
        <v>79374</v>
      </c>
      <c r="I29" t="n">
        <v>15098</v>
      </c>
      <c r="J29" t="n">
        <v>81</v>
      </c>
      <c r="K29" t="n">
        <v>19</v>
      </c>
      <c r="L29" t="n">
        <v>0.41</v>
      </c>
      <c r="M29" t="n">
        <v>4.42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0" customWidth="1" min="4" max="4"/>
    <col width="21" customWidth="1" min="5" max="5"/>
    <col width="19" customWidth="1" min="6" max="6"/>
    <col width="15" customWidth="1" min="7" max="7"/>
    <col width="18" customWidth="1" min="8" max="8"/>
    <col width="25" customWidth="1" min="9" max="9"/>
    <col width="25" customWidth="1" min="10" max="10"/>
  </cols>
  <sheetData>
    <row r="1">
      <c r="A1" s="8" t="inlineStr">
        <is>
          <t>flight_date</t>
        </is>
      </c>
      <c r="B1" s="8" t="inlineStr">
        <is>
          <t>scheduled_flights</t>
        </is>
      </c>
      <c r="C1" s="8" t="inlineStr">
        <is>
          <t>cancelled_flights</t>
        </is>
      </c>
      <c r="D1" s="8" t="inlineStr">
        <is>
          <t>diverted_flights</t>
        </is>
      </c>
      <c r="E1" s="8" t="inlineStr">
        <is>
          <t>completed_flights</t>
        </is>
      </c>
      <c r="F1" s="8" t="inlineStr">
        <is>
          <t>delayed_flights</t>
        </is>
      </c>
      <c r="G1" s="8" t="inlineStr">
        <is>
          <t>on_time_pct</t>
        </is>
      </c>
      <c r="H1" s="8" t="inlineStr">
        <is>
          <t>delay_rate_pct</t>
        </is>
      </c>
      <c r="I1" s="8" t="inlineStr">
        <is>
          <t>cancellation_rate_pct</t>
        </is>
      </c>
      <c r="J1" s="8" t="inlineStr">
        <is>
          <t>avg_arr_delay_minutes</t>
        </is>
      </c>
    </row>
    <row r="2">
      <c r="A2" s="10" t="n">
        <v>45292</v>
      </c>
      <c r="B2" t="n">
        <v>17265</v>
      </c>
      <c r="C2" t="n">
        <v>18</v>
      </c>
      <c r="D2" t="n">
        <v>6</v>
      </c>
      <c r="E2" t="n">
        <v>17241</v>
      </c>
      <c r="F2" t="n">
        <v>1954</v>
      </c>
      <c r="G2" t="n">
        <v>88.7</v>
      </c>
      <c r="H2" t="n">
        <v>11.3</v>
      </c>
      <c r="I2" t="n">
        <v>0.1</v>
      </c>
      <c r="J2" t="n">
        <v>-4.05</v>
      </c>
    </row>
    <row r="3">
      <c r="A3" s="10" t="n">
        <v>45293</v>
      </c>
      <c r="B3" t="n">
        <v>18977</v>
      </c>
      <c r="C3" t="n">
        <v>25</v>
      </c>
      <c r="D3" t="n">
        <v>30</v>
      </c>
      <c r="E3" t="n">
        <v>18922</v>
      </c>
      <c r="F3" t="n">
        <v>3494</v>
      </c>
      <c r="G3" t="n">
        <v>81.5</v>
      </c>
      <c r="H3" t="n">
        <v>18.5</v>
      </c>
      <c r="I3" t="n">
        <v>0.13</v>
      </c>
      <c r="J3" t="n">
        <v>1.37</v>
      </c>
    </row>
    <row r="4">
      <c r="A4" s="10" t="n">
        <v>45294</v>
      </c>
      <c r="B4" t="n">
        <v>18520</v>
      </c>
      <c r="C4" t="n">
        <v>19</v>
      </c>
      <c r="D4" t="n">
        <v>17</v>
      </c>
      <c r="E4" t="n">
        <v>18484</v>
      </c>
      <c r="F4" t="n">
        <v>3336</v>
      </c>
      <c r="G4" t="n">
        <v>82</v>
      </c>
      <c r="H4" t="n">
        <v>18.1</v>
      </c>
      <c r="I4" t="n">
        <v>0.1</v>
      </c>
      <c r="J4" t="n">
        <v>2.33</v>
      </c>
    </row>
    <row r="5">
      <c r="A5" s="10" t="n">
        <v>45295</v>
      </c>
      <c r="B5" t="n">
        <v>18066</v>
      </c>
      <c r="C5" t="n">
        <v>65</v>
      </c>
      <c r="D5" t="n">
        <v>25</v>
      </c>
      <c r="E5" t="n">
        <v>17976</v>
      </c>
      <c r="F5" t="n">
        <v>2120</v>
      </c>
      <c r="G5" t="n">
        <v>88.2</v>
      </c>
      <c r="H5" t="n">
        <v>11.8</v>
      </c>
      <c r="I5" t="n">
        <v>0.36</v>
      </c>
      <c r="J5" t="n">
        <v>-3.06</v>
      </c>
    </row>
    <row r="6">
      <c r="A6" s="10" t="n">
        <v>45296</v>
      </c>
      <c r="B6" t="n">
        <v>18109</v>
      </c>
      <c r="C6" t="n">
        <v>17</v>
      </c>
      <c r="D6" t="n">
        <v>15</v>
      </c>
      <c r="E6" t="n">
        <v>18077</v>
      </c>
      <c r="F6" t="n">
        <v>2478</v>
      </c>
      <c r="G6" t="n">
        <v>86.3</v>
      </c>
      <c r="H6" t="n">
        <v>13.7</v>
      </c>
      <c r="I6" t="n">
        <v>0.09</v>
      </c>
      <c r="J6" t="n">
        <v>-2.2</v>
      </c>
    </row>
    <row r="7">
      <c r="A7" s="10" t="n">
        <v>45297</v>
      </c>
      <c r="B7" t="n">
        <v>16950</v>
      </c>
      <c r="C7" t="n">
        <v>386</v>
      </c>
      <c r="D7" t="n">
        <v>44</v>
      </c>
      <c r="E7" t="n">
        <v>16520</v>
      </c>
      <c r="F7" t="n">
        <v>4987</v>
      </c>
      <c r="G7" t="n">
        <v>69.8</v>
      </c>
      <c r="H7" t="n">
        <v>30.2</v>
      </c>
      <c r="I7" t="n">
        <v>2.28</v>
      </c>
      <c r="J7" t="n">
        <v>13.7</v>
      </c>
    </row>
    <row r="8">
      <c r="A8" s="10" t="n">
        <v>45298</v>
      </c>
      <c r="B8" t="n">
        <v>18812</v>
      </c>
      <c r="C8" t="n">
        <v>620</v>
      </c>
      <c r="D8" t="n">
        <v>47</v>
      </c>
      <c r="E8" t="n">
        <v>18145</v>
      </c>
      <c r="F8" t="n">
        <v>5213</v>
      </c>
      <c r="G8" t="n">
        <v>71.3</v>
      </c>
      <c r="H8" t="n">
        <v>28.7</v>
      </c>
      <c r="I8" t="n">
        <v>3.3</v>
      </c>
      <c r="J8" t="n">
        <v>13.21</v>
      </c>
    </row>
    <row r="9">
      <c r="A9" s="10" t="n">
        <v>45299</v>
      </c>
      <c r="B9" t="n">
        <v>18472</v>
      </c>
      <c r="C9" t="n">
        <v>656</v>
      </c>
      <c r="D9" t="n">
        <v>134</v>
      </c>
      <c r="E9" t="n">
        <v>17682</v>
      </c>
      <c r="F9" t="n">
        <v>5228</v>
      </c>
      <c r="G9" t="n">
        <v>70.40000000000001</v>
      </c>
      <c r="H9" t="n">
        <v>29.6</v>
      </c>
      <c r="I9" t="n">
        <v>3.55</v>
      </c>
      <c r="J9" t="n">
        <v>18.41</v>
      </c>
    </row>
    <row r="10">
      <c r="A10" s="10" t="n">
        <v>45300</v>
      </c>
      <c r="B10" t="n">
        <v>16775</v>
      </c>
      <c r="C10" t="n">
        <v>1269</v>
      </c>
      <c r="D10" t="n">
        <v>243</v>
      </c>
      <c r="E10" t="n">
        <v>15263</v>
      </c>
      <c r="F10" t="n">
        <v>6895</v>
      </c>
      <c r="G10" t="n">
        <v>54.8</v>
      </c>
      <c r="H10" t="n">
        <v>45.2</v>
      </c>
      <c r="I10" t="n">
        <v>7.56</v>
      </c>
      <c r="J10" t="n">
        <v>40.87</v>
      </c>
    </row>
    <row r="11">
      <c r="A11" s="10" t="n">
        <v>45301</v>
      </c>
      <c r="B11" t="n">
        <v>16795</v>
      </c>
      <c r="C11" t="n">
        <v>557</v>
      </c>
      <c r="D11" t="n">
        <v>22</v>
      </c>
      <c r="E11" t="n">
        <v>16216</v>
      </c>
      <c r="F11" t="n">
        <v>3330</v>
      </c>
      <c r="G11" t="n">
        <v>79.5</v>
      </c>
      <c r="H11" t="n">
        <v>20.5</v>
      </c>
      <c r="I11" t="n">
        <v>3.32</v>
      </c>
      <c r="J11" t="n">
        <v>5.88</v>
      </c>
    </row>
    <row r="12">
      <c r="A12" s="10" t="n">
        <v>45302</v>
      </c>
      <c r="B12" t="n">
        <v>18500</v>
      </c>
      <c r="C12" t="n">
        <v>455</v>
      </c>
      <c r="D12" t="n">
        <v>43</v>
      </c>
      <c r="E12" t="n">
        <v>18002</v>
      </c>
      <c r="F12" t="n">
        <v>3783</v>
      </c>
      <c r="G12" t="n">
        <v>79</v>
      </c>
      <c r="H12" t="n">
        <v>21</v>
      </c>
      <c r="I12" t="n">
        <v>2.46</v>
      </c>
      <c r="J12" t="n">
        <v>4.28</v>
      </c>
    </row>
    <row r="13">
      <c r="A13" s="10" t="n">
        <v>45303</v>
      </c>
      <c r="B13" t="n">
        <v>18590</v>
      </c>
      <c r="C13" t="n">
        <v>1936</v>
      </c>
      <c r="D13" t="n">
        <v>84</v>
      </c>
      <c r="E13" t="n">
        <v>16570</v>
      </c>
      <c r="F13" t="n">
        <v>6513</v>
      </c>
      <c r="G13" t="n">
        <v>60.7</v>
      </c>
      <c r="H13" t="n">
        <v>39.3</v>
      </c>
      <c r="I13" t="n">
        <v>10.41</v>
      </c>
      <c r="J13" t="n">
        <v>27.27</v>
      </c>
    </row>
    <row r="14">
      <c r="A14" s="10" t="n">
        <v>45304</v>
      </c>
      <c r="B14" t="n">
        <v>15483</v>
      </c>
      <c r="C14" t="n">
        <v>1013</v>
      </c>
      <c r="D14" t="n">
        <v>43</v>
      </c>
      <c r="E14" t="n">
        <v>14427</v>
      </c>
      <c r="F14" t="n">
        <v>5212</v>
      </c>
      <c r="G14" t="n">
        <v>63.9</v>
      </c>
      <c r="H14" t="n">
        <v>36.1</v>
      </c>
      <c r="I14" t="n">
        <v>6.54</v>
      </c>
      <c r="J14" t="n">
        <v>23.07</v>
      </c>
    </row>
    <row r="15">
      <c r="A15" s="10" t="n">
        <v>45305</v>
      </c>
      <c r="B15" t="n">
        <v>17583</v>
      </c>
      <c r="C15" t="n">
        <v>1409</v>
      </c>
      <c r="D15" t="n">
        <v>45</v>
      </c>
      <c r="E15" t="n">
        <v>16129</v>
      </c>
      <c r="F15" t="n">
        <v>6249</v>
      </c>
      <c r="G15" t="n">
        <v>61.3</v>
      </c>
      <c r="H15" t="n">
        <v>38.7</v>
      </c>
      <c r="I15" t="n">
        <v>8.01</v>
      </c>
      <c r="J15" t="n">
        <v>27.39</v>
      </c>
    </row>
    <row r="16">
      <c r="A16" s="10" t="n">
        <v>45306</v>
      </c>
      <c r="B16" t="n">
        <v>18620</v>
      </c>
      <c r="C16" t="n">
        <v>2962</v>
      </c>
      <c r="D16" t="n">
        <v>95</v>
      </c>
      <c r="E16" t="n">
        <v>15563</v>
      </c>
      <c r="F16" t="n">
        <v>7748</v>
      </c>
      <c r="G16" t="n">
        <v>50.2</v>
      </c>
      <c r="H16" t="n">
        <v>49.8</v>
      </c>
      <c r="I16" t="n">
        <v>15.91</v>
      </c>
      <c r="J16" t="n">
        <v>50.48</v>
      </c>
    </row>
    <row r="17">
      <c r="A17" s="10" t="n">
        <v>45307</v>
      </c>
      <c r="B17" t="n">
        <v>16530</v>
      </c>
      <c r="C17" t="n">
        <v>2111</v>
      </c>
      <c r="D17" t="n">
        <v>35</v>
      </c>
      <c r="E17" t="n">
        <v>14384</v>
      </c>
      <c r="F17" t="n">
        <v>7405</v>
      </c>
      <c r="G17" t="n">
        <v>48.5</v>
      </c>
      <c r="H17" t="n">
        <v>51.5</v>
      </c>
      <c r="I17" t="n">
        <v>12.77</v>
      </c>
      <c r="J17" t="n">
        <v>47.79</v>
      </c>
    </row>
    <row r="18">
      <c r="A18" s="10" t="n">
        <v>45308</v>
      </c>
      <c r="B18" t="n">
        <v>16877</v>
      </c>
      <c r="C18" t="n">
        <v>964</v>
      </c>
      <c r="D18" t="n">
        <v>50</v>
      </c>
      <c r="E18" t="n">
        <v>15863</v>
      </c>
      <c r="F18" t="n">
        <v>4274</v>
      </c>
      <c r="G18" t="n">
        <v>73.09999999999999</v>
      </c>
      <c r="H18" t="n">
        <v>26.9</v>
      </c>
      <c r="I18" t="n">
        <v>5.71</v>
      </c>
      <c r="J18" t="n">
        <v>15.07</v>
      </c>
    </row>
    <row r="19">
      <c r="A19" s="10" t="n">
        <v>45309</v>
      </c>
      <c r="B19" t="n">
        <v>18663</v>
      </c>
      <c r="C19" t="n">
        <v>600</v>
      </c>
      <c r="D19" t="n">
        <v>18</v>
      </c>
      <c r="E19" t="n">
        <v>18045</v>
      </c>
      <c r="F19" t="n">
        <v>3576</v>
      </c>
      <c r="G19" t="n">
        <v>80.2</v>
      </c>
      <c r="H19" t="n">
        <v>19.8</v>
      </c>
      <c r="I19" t="n">
        <v>3.21</v>
      </c>
      <c r="J19" t="n">
        <v>5.45</v>
      </c>
    </row>
    <row r="20">
      <c r="A20" s="10" t="n">
        <v>45310</v>
      </c>
      <c r="B20" t="n">
        <v>18698</v>
      </c>
      <c r="C20" t="n">
        <v>973</v>
      </c>
      <c r="D20" t="n">
        <v>42</v>
      </c>
      <c r="E20" t="n">
        <v>17683</v>
      </c>
      <c r="F20" t="n">
        <v>6592</v>
      </c>
      <c r="G20" t="n">
        <v>62.7</v>
      </c>
      <c r="H20" t="n">
        <v>37.3</v>
      </c>
      <c r="I20" t="n">
        <v>5.2</v>
      </c>
      <c r="J20" t="n">
        <v>26.13</v>
      </c>
    </row>
    <row r="21">
      <c r="A21" s="10" t="n">
        <v>45311</v>
      </c>
      <c r="B21" t="n">
        <v>15535</v>
      </c>
      <c r="C21" t="n">
        <v>304</v>
      </c>
      <c r="D21" t="n">
        <v>23</v>
      </c>
      <c r="E21" t="n">
        <v>15208</v>
      </c>
      <c r="F21" t="n">
        <v>2961</v>
      </c>
      <c r="G21" t="n">
        <v>80.5</v>
      </c>
      <c r="H21" t="n">
        <v>19.5</v>
      </c>
      <c r="I21" t="n">
        <v>1.96</v>
      </c>
      <c r="J21" t="n">
        <v>4.81</v>
      </c>
    </row>
    <row r="22">
      <c r="A22" s="10" t="n">
        <v>45312</v>
      </c>
      <c r="B22" t="n">
        <v>18573</v>
      </c>
      <c r="C22" t="n">
        <v>309</v>
      </c>
      <c r="D22" t="n">
        <v>32</v>
      </c>
      <c r="E22" t="n">
        <v>18232</v>
      </c>
      <c r="F22" t="n">
        <v>3485</v>
      </c>
      <c r="G22" t="n">
        <v>80.90000000000001</v>
      </c>
      <c r="H22" t="n">
        <v>19.1</v>
      </c>
      <c r="I22" t="n">
        <v>1.66</v>
      </c>
      <c r="J22" t="n">
        <v>3.76</v>
      </c>
    </row>
    <row r="23">
      <c r="A23" s="10" t="n">
        <v>45313</v>
      </c>
      <c r="B23" t="n">
        <v>18559</v>
      </c>
      <c r="C23" t="n">
        <v>808</v>
      </c>
      <c r="D23" t="n">
        <v>45</v>
      </c>
      <c r="E23" t="n">
        <v>17706</v>
      </c>
      <c r="F23" t="n">
        <v>4429</v>
      </c>
      <c r="G23" t="n">
        <v>75</v>
      </c>
      <c r="H23" t="n">
        <v>25</v>
      </c>
      <c r="I23" t="n">
        <v>4.35</v>
      </c>
      <c r="J23" t="n">
        <v>10.31</v>
      </c>
    </row>
    <row r="24">
      <c r="A24" s="10" t="n">
        <v>45314</v>
      </c>
      <c r="B24" t="n">
        <v>16472</v>
      </c>
      <c r="C24" t="n">
        <v>530</v>
      </c>
      <c r="D24" t="n">
        <v>47</v>
      </c>
      <c r="E24" t="n">
        <v>15895</v>
      </c>
      <c r="F24" t="n">
        <v>3355</v>
      </c>
      <c r="G24" t="n">
        <v>78.90000000000001</v>
      </c>
      <c r="H24" t="n">
        <v>21.1</v>
      </c>
      <c r="I24" t="n">
        <v>3.22</v>
      </c>
      <c r="J24" t="n">
        <v>5.23</v>
      </c>
    </row>
    <row r="25">
      <c r="A25" s="10" t="n">
        <v>45315</v>
      </c>
      <c r="B25" t="n">
        <v>16837</v>
      </c>
      <c r="C25" t="n">
        <v>604</v>
      </c>
      <c r="D25" t="n">
        <v>70</v>
      </c>
      <c r="E25" t="n">
        <v>16163</v>
      </c>
      <c r="F25" t="n">
        <v>3508</v>
      </c>
      <c r="G25" t="n">
        <v>78.3</v>
      </c>
      <c r="H25" t="n">
        <v>21.7</v>
      </c>
      <c r="I25" t="n">
        <v>3.59</v>
      </c>
      <c r="J25" t="n">
        <v>7.36</v>
      </c>
    </row>
    <row r="26">
      <c r="A26" s="10" t="n">
        <v>45316</v>
      </c>
      <c r="B26" t="n">
        <v>18684</v>
      </c>
      <c r="C26" t="n">
        <v>737</v>
      </c>
      <c r="D26" t="n">
        <v>91</v>
      </c>
      <c r="E26" t="n">
        <v>17856</v>
      </c>
      <c r="F26" t="n">
        <v>4084</v>
      </c>
      <c r="G26" t="n">
        <v>77.09999999999999</v>
      </c>
      <c r="H26" t="n">
        <v>22.9</v>
      </c>
      <c r="I26" t="n">
        <v>3.94</v>
      </c>
      <c r="J26" t="n">
        <v>8.18</v>
      </c>
    </row>
    <row r="27">
      <c r="A27" s="10" t="n">
        <v>45317</v>
      </c>
      <c r="B27" t="n">
        <v>18708</v>
      </c>
      <c r="C27" t="n">
        <v>397</v>
      </c>
      <c r="D27" t="n">
        <v>33</v>
      </c>
      <c r="E27" t="n">
        <v>18278</v>
      </c>
      <c r="F27" t="n">
        <v>3456</v>
      </c>
      <c r="G27" t="n">
        <v>81.09999999999999</v>
      </c>
      <c r="H27" t="n">
        <v>18.9</v>
      </c>
      <c r="I27" t="n">
        <v>2.12</v>
      </c>
      <c r="J27" t="n">
        <v>4.05</v>
      </c>
    </row>
    <row r="28">
      <c r="A28" s="10" t="n">
        <v>45318</v>
      </c>
      <c r="B28" t="n">
        <v>15546</v>
      </c>
      <c r="C28" t="n">
        <v>282</v>
      </c>
      <c r="D28" t="n">
        <v>50</v>
      </c>
      <c r="E28" t="n">
        <v>15214</v>
      </c>
      <c r="F28" t="n">
        <v>2127</v>
      </c>
      <c r="G28" t="n">
        <v>86</v>
      </c>
      <c r="H28" t="n">
        <v>14</v>
      </c>
      <c r="I28" t="n">
        <v>1.81</v>
      </c>
      <c r="J28" t="n">
        <v>-1.18</v>
      </c>
    </row>
    <row r="29">
      <c r="A29" s="10" t="n">
        <v>45319</v>
      </c>
      <c r="B29" t="n">
        <v>18647</v>
      </c>
      <c r="C29" t="n">
        <v>123</v>
      </c>
      <c r="D29" t="n">
        <v>35</v>
      </c>
      <c r="E29" t="n">
        <v>18489</v>
      </c>
      <c r="F29" t="n">
        <v>3175</v>
      </c>
      <c r="G29" t="n">
        <v>82.8</v>
      </c>
      <c r="H29" t="n">
        <v>17.2</v>
      </c>
      <c r="I29" t="n">
        <v>0.66</v>
      </c>
      <c r="J29" t="n">
        <v>1.27</v>
      </c>
    </row>
    <row r="30">
      <c r="A30" s="10" t="n">
        <v>45320</v>
      </c>
      <c r="B30" t="n">
        <v>18383</v>
      </c>
      <c r="C30" t="n">
        <v>117</v>
      </c>
      <c r="D30" t="n">
        <v>22</v>
      </c>
      <c r="E30" t="n">
        <v>18244</v>
      </c>
      <c r="F30" t="n">
        <v>2219</v>
      </c>
      <c r="G30" t="n">
        <v>87.8</v>
      </c>
      <c r="H30" t="n">
        <v>12.2</v>
      </c>
      <c r="I30" t="n">
        <v>0.64</v>
      </c>
      <c r="J30" t="n">
        <v>-3.76</v>
      </c>
    </row>
    <row r="31">
      <c r="A31" s="10" t="n">
        <v>45321</v>
      </c>
      <c r="B31" t="n">
        <v>16352</v>
      </c>
      <c r="C31" t="n">
        <v>58</v>
      </c>
      <c r="D31" t="n">
        <v>14</v>
      </c>
      <c r="E31" t="n">
        <v>16280</v>
      </c>
      <c r="F31" t="n">
        <v>1726</v>
      </c>
      <c r="G31" t="n">
        <v>89.40000000000001</v>
      </c>
      <c r="H31" t="n">
        <v>10.6</v>
      </c>
      <c r="I31" t="n">
        <v>0.35</v>
      </c>
      <c r="J31" t="n">
        <v>-6.6</v>
      </c>
    </row>
    <row r="32">
      <c r="A32" s="10" t="n">
        <v>45322</v>
      </c>
      <c r="B32" t="n">
        <v>16690</v>
      </c>
      <c r="C32" t="n">
        <v>65</v>
      </c>
      <c r="D32" t="n">
        <v>12</v>
      </c>
      <c r="E32" t="n">
        <v>16613</v>
      </c>
      <c r="F32" t="n">
        <v>1498</v>
      </c>
      <c r="G32" t="n">
        <v>91</v>
      </c>
      <c r="H32" t="n">
        <v>9</v>
      </c>
      <c r="I32" t="n">
        <v>0.39</v>
      </c>
      <c r="J32" t="n">
        <v>-7.73</v>
      </c>
    </row>
    <row r="33">
      <c r="A33" s="10" t="n">
        <v>45323</v>
      </c>
      <c r="B33" t="n">
        <v>18455</v>
      </c>
      <c r="C33" t="n">
        <v>198</v>
      </c>
      <c r="D33" t="n">
        <v>25</v>
      </c>
      <c r="E33" t="n">
        <v>18232</v>
      </c>
      <c r="F33" t="n">
        <v>2703</v>
      </c>
      <c r="G33" t="n">
        <v>85.2</v>
      </c>
      <c r="H33" t="n">
        <v>14.8</v>
      </c>
      <c r="I33" t="n">
        <v>1.07</v>
      </c>
      <c r="J33" t="n">
        <v>-1.11</v>
      </c>
    </row>
    <row r="34">
      <c r="A34" s="10" t="n">
        <v>45324</v>
      </c>
      <c r="B34" t="n">
        <v>18467</v>
      </c>
      <c r="C34" t="n">
        <v>68</v>
      </c>
      <c r="D34" t="n">
        <v>37</v>
      </c>
      <c r="E34" t="n">
        <v>18362</v>
      </c>
      <c r="F34" t="n">
        <v>2645</v>
      </c>
      <c r="G34" t="n">
        <v>85.59999999999999</v>
      </c>
      <c r="H34" t="n">
        <v>14.4</v>
      </c>
      <c r="I34" t="n">
        <v>0.37</v>
      </c>
      <c r="J34" t="n">
        <v>-3.32</v>
      </c>
    </row>
    <row r="35">
      <c r="A35" s="10" t="n">
        <v>45325</v>
      </c>
      <c r="B35" t="n">
        <v>15501</v>
      </c>
      <c r="C35" t="n">
        <v>206</v>
      </c>
      <c r="D35" t="n">
        <v>64</v>
      </c>
      <c r="E35" t="n">
        <v>15231</v>
      </c>
      <c r="F35" t="n">
        <v>2520</v>
      </c>
      <c r="G35" t="n">
        <v>83.5</v>
      </c>
      <c r="H35" t="n">
        <v>16.6</v>
      </c>
      <c r="I35" t="n">
        <v>1.33</v>
      </c>
      <c r="J35" t="n">
        <v>2.38</v>
      </c>
    </row>
    <row r="36">
      <c r="A36" s="10" t="n">
        <v>45326</v>
      </c>
      <c r="B36" t="n">
        <v>18400</v>
      </c>
      <c r="C36" t="n">
        <v>446</v>
      </c>
      <c r="D36" t="n">
        <v>117</v>
      </c>
      <c r="E36" t="n">
        <v>17837</v>
      </c>
      <c r="F36" t="n">
        <v>5013</v>
      </c>
      <c r="G36" t="n">
        <v>71.90000000000001</v>
      </c>
      <c r="H36" t="n">
        <v>28.1</v>
      </c>
      <c r="I36" t="n">
        <v>2.42</v>
      </c>
      <c r="J36" t="n">
        <v>14.98</v>
      </c>
    </row>
    <row r="37">
      <c r="A37" s="10" t="n">
        <v>45327</v>
      </c>
      <c r="B37" t="n">
        <v>18342</v>
      </c>
      <c r="C37" t="n">
        <v>121</v>
      </c>
      <c r="D37" t="n">
        <v>35</v>
      </c>
      <c r="E37" t="n">
        <v>18186</v>
      </c>
      <c r="F37" t="n">
        <v>3365</v>
      </c>
      <c r="G37" t="n">
        <v>81.5</v>
      </c>
      <c r="H37" t="n">
        <v>18.5</v>
      </c>
      <c r="I37" t="n">
        <v>0.66</v>
      </c>
      <c r="J37" t="n">
        <v>3.09</v>
      </c>
    </row>
    <row r="38">
      <c r="A38" s="10" t="n">
        <v>45328</v>
      </c>
      <c r="B38" t="n">
        <v>16321</v>
      </c>
      <c r="C38" t="n">
        <v>20</v>
      </c>
      <c r="D38" t="n">
        <v>25</v>
      </c>
      <c r="E38" t="n">
        <v>16276</v>
      </c>
      <c r="F38" t="n">
        <v>1708</v>
      </c>
      <c r="G38" t="n">
        <v>89.5</v>
      </c>
      <c r="H38" t="n">
        <v>10.5</v>
      </c>
      <c r="I38" t="n">
        <v>0.12</v>
      </c>
      <c r="J38" t="n">
        <v>-5.69</v>
      </c>
    </row>
    <row r="39">
      <c r="A39" s="10" t="n">
        <v>45329</v>
      </c>
      <c r="B39" t="n">
        <v>16698</v>
      </c>
      <c r="C39" t="n">
        <v>27</v>
      </c>
      <c r="D39" t="n">
        <v>14</v>
      </c>
      <c r="E39" t="n">
        <v>16657</v>
      </c>
      <c r="F39" t="n">
        <v>1581</v>
      </c>
      <c r="G39" t="n">
        <v>90.5</v>
      </c>
      <c r="H39" t="n">
        <v>9.5</v>
      </c>
      <c r="I39" t="n">
        <v>0.16</v>
      </c>
      <c r="J39" t="n">
        <v>-6.5</v>
      </c>
    </row>
    <row r="40">
      <c r="A40" s="10" t="n">
        <v>45330</v>
      </c>
      <c r="B40" t="n">
        <v>18516</v>
      </c>
      <c r="C40" t="n">
        <v>33</v>
      </c>
      <c r="D40" t="n">
        <v>23</v>
      </c>
      <c r="E40" t="n">
        <v>18460</v>
      </c>
      <c r="F40" t="n">
        <v>2591</v>
      </c>
      <c r="G40" t="n">
        <v>86</v>
      </c>
      <c r="H40" t="n">
        <v>14</v>
      </c>
      <c r="I40" t="n">
        <v>0.18</v>
      </c>
      <c r="J40" t="n">
        <v>-2.12</v>
      </c>
    </row>
    <row r="41">
      <c r="A41" s="10" t="n">
        <v>45331</v>
      </c>
      <c r="B41" t="n">
        <v>18572</v>
      </c>
      <c r="C41" t="n">
        <v>18</v>
      </c>
      <c r="D41" t="n">
        <v>10</v>
      </c>
      <c r="E41" t="n">
        <v>18544</v>
      </c>
      <c r="F41" t="n">
        <v>2309</v>
      </c>
      <c r="G41" t="n">
        <v>87.59999999999999</v>
      </c>
      <c r="H41" t="n">
        <v>12.5</v>
      </c>
      <c r="I41" t="n">
        <v>0.1</v>
      </c>
      <c r="J41" t="n">
        <v>-2.94</v>
      </c>
    </row>
    <row r="42">
      <c r="A42" s="10" t="n">
        <v>45332</v>
      </c>
      <c r="B42" t="n">
        <v>15565</v>
      </c>
      <c r="C42" t="n">
        <v>15</v>
      </c>
      <c r="D42" t="n">
        <v>22</v>
      </c>
      <c r="E42" t="n">
        <v>15528</v>
      </c>
      <c r="F42" t="n">
        <v>2377</v>
      </c>
      <c r="G42" t="n">
        <v>84.7</v>
      </c>
      <c r="H42" t="n">
        <v>15.3</v>
      </c>
      <c r="I42" t="n">
        <v>0.1</v>
      </c>
      <c r="J42" t="n">
        <v>-1.35</v>
      </c>
    </row>
    <row r="43">
      <c r="A43" s="10" t="n">
        <v>45333</v>
      </c>
      <c r="B43" t="n">
        <v>18028</v>
      </c>
      <c r="C43" t="n">
        <v>14</v>
      </c>
      <c r="D43" t="n">
        <v>21</v>
      </c>
      <c r="E43" t="n">
        <v>17993</v>
      </c>
      <c r="F43" t="n">
        <v>2646</v>
      </c>
      <c r="G43" t="n">
        <v>85.3</v>
      </c>
      <c r="H43" t="n">
        <v>14.7</v>
      </c>
      <c r="I43" t="n">
        <v>0.08</v>
      </c>
      <c r="J43" t="n">
        <v>-0.21</v>
      </c>
    </row>
    <row r="44">
      <c r="A44" s="10" t="n">
        <v>45334</v>
      </c>
      <c r="B44" t="n">
        <v>18215</v>
      </c>
      <c r="C44" t="n">
        <v>124</v>
      </c>
      <c r="D44" t="n">
        <v>21</v>
      </c>
      <c r="E44" t="n">
        <v>18070</v>
      </c>
      <c r="F44" t="n">
        <v>3228</v>
      </c>
      <c r="G44" t="n">
        <v>82.09999999999999</v>
      </c>
      <c r="H44" t="n">
        <v>17.9</v>
      </c>
      <c r="I44" t="n">
        <v>0.68</v>
      </c>
      <c r="J44" t="n">
        <v>2.6</v>
      </c>
    </row>
    <row r="45">
      <c r="A45" s="10" t="n">
        <v>45335</v>
      </c>
      <c r="B45" t="n">
        <v>16134</v>
      </c>
      <c r="C45" t="n">
        <v>976</v>
      </c>
      <c r="D45" t="n">
        <v>31</v>
      </c>
      <c r="E45" t="n">
        <v>15127</v>
      </c>
      <c r="F45" t="n">
        <v>1919</v>
      </c>
      <c r="G45" t="n">
        <v>87.3</v>
      </c>
      <c r="H45" t="n">
        <v>12.7</v>
      </c>
      <c r="I45" t="n">
        <v>6.05</v>
      </c>
      <c r="J45" t="n">
        <v>-2.09</v>
      </c>
    </row>
    <row r="46">
      <c r="A46" s="10" t="n">
        <v>45336</v>
      </c>
      <c r="B46" t="n">
        <v>16762</v>
      </c>
      <c r="C46" t="n">
        <v>15</v>
      </c>
      <c r="D46" t="n">
        <v>13</v>
      </c>
      <c r="E46" t="n">
        <v>16734</v>
      </c>
      <c r="F46" t="n">
        <v>1571</v>
      </c>
      <c r="G46" t="n">
        <v>90.59999999999999</v>
      </c>
      <c r="H46" t="n">
        <v>9.4</v>
      </c>
      <c r="I46" t="n">
        <v>0.09</v>
      </c>
      <c r="J46" t="n">
        <v>-5.88</v>
      </c>
    </row>
    <row r="47">
      <c r="A47" s="10" t="n">
        <v>45337</v>
      </c>
      <c r="B47" t="n">
        <v>19013</v>
      </c>
      <c r="C47" t="n">
        <v>19</v>
      </c>
      <c r="D47" t="n">
        <v>23</v>
      </c>
      <c r="E47" t="n">
        <v>18971</v>
      </c>
      <c r="F47" t="n">
        <v>2895</v>
      </c>
      <c r="G47" t="n">
        <v>84.7</v>
      </c>
      <c r="H47" t="n">
        <v>15.3</v>
      </c>
      <c r="I47" t="n">
        <v>0.1</v>
      </c>
      <c r="J47" t="n">
        <v>0.7</v>
      </c>
    </row>
    <row r="48">
      <c r="A48" s="10" t="n">
        <v>45338</v>
      </c>
      <c r="B48" t="n">
        <v>19163</v>
      </c>
      <c r="C48" t="n">
        <v>101</v>
      </c>
      <c r="D48" t="n">
        <v>48</v>
      </c>
      <c r="E48" t="n">
        <v>19014</v>
      </c>
      <c r="F48" t="n">
        <v>4100</v>
      </c>
      <c r="G48" t="n">
        <v>78.40000000000001</v>
      </c>
      <c r="H48" t="n">
        <v>21.6</v>
      </c>
      <c r="I48" t="n">
        <v>0.53</v>
      </c>
      <c r="J48" t="n">
        <v>8.44</v>
      </c>
    </row>
    <row r="49">
      <c r="A49" s="10" t="n">
        <v>45339</v>
      </c>
      <c r="B49" t="n">
        <v>16426</v>
      </c>
      <c r="C49" t="n">
        <v>79</v>
      </c>
      <c r="D49" t="n">
        <v>31</v>
      </c>
      <c r="E49" t="n">
        <v>16316</v>
      </c>
      <c r="F49" t="n">
        <v>4864</v>
      </c>
      <c r="G49" t="n">
        <v>70.2</v>
      </c>
      <c r="H49" t="n">
        <v>29.8</v>
      </c>
      <c r="I49" t="n">
        <v>0.48</v>
      </c>
      <c r="J49" t="n">
        <v>14.06</v>
      </c>
    </row>
    <row r="50">
      <c r="A50" s="10" t="n">
        <v>45340</v>
      </c>
      <c r="B50" t="n">
        <v>18409</v>
      </c>
      <c r="C50" t="n">
        <v>43</v>
      </c>
      <c r="D50" t="n">
        <v>59</v>
      </c>
      <c r="E50" t="n">
        <v>18307</v>
      </c>
      <c r="F50" t="n">
        <v>3470</v>
      </c>
      <c r="G50" t="n">
        <v>81.09999999999999</v>
      </c>
      <c r="H50" t="n">
        <v>19</v>
      </c>
      <c r="I50" t="n">
        <v>0.23</v>
      </c>
      <c r="J50" t="n">
        <v>5.13</v>
      </c>
    </row>
    <row r="51">
      <c r="A51" s="10" t="n">
        <v>45341</v>
      </c>
      <c r="B51" t="n">
        <v>19098</v>
      </c>
      <c r="C51" t="n">
        <v>69</v>
      </c>
      <c r="D51" t="n">
        <v>23</v>
      </c>
      <c r="E51" t="n">
        <v>19006</v>
      </c>
      <c r="F51" t="n">
        <v>3288</v>
      </c>
      <c r="G51" t="n">
        <v>82.7</v>
      </c>
      <c r="H51" t="n">
        <v>17.3</v>
      </c>
      <c r="I51" t="n">
        <v>0.36</v>
      </c>
      <c r="J51" t="n">
        <v>1.76</v>
      </c>
    </row>
    <row r="52">
      <c r="A52" s="10" t="n">
        <v>45342</v>
      </c>
      <c r="B52" t="n">
        <v>17674</v>
      </c>
      <c r="C52" t="n">
        <v>15</v>
      </c>
      <c r="D52" t="n">
        <v>28</v>
      </c>
      <c r="E52" t="n">
        <v>17631</v>
      </c>
      <c r="F52" t="n">
        <v>2239</v>
      </c>
      <c r="G52" t="n">
        <v>87.3</v>
      </c>
      <c r="H52" t="n">
        <v>12.7</v>
      </c>
      <c r="I52" t="n">
        <v>0.08</v>
      </c>
      <c r="J52" t="n">
        <v>-3.91</v>
      </c>
    </row>
    <row r="53">
      <c r="A53" s="10" t="n">
        <v>45343</v>
      </c>
      <c r="B53" t="n">
        <v>17881</v>
      </c>
      <c r="C53" t="n">
        <v>21</v>
      </c>
      <c r="D53" t="n">
        <v>14</v>
      </c>
      <c r="E53" t="n">
        <v>17846</v>
      </c>
      <c r="F53" t="n">
        <v>2096</v>
      </c>
      <c r="G53" t="n">
        <v>88.3</v>
      </c>
      <c r="H53" t="n">
        <v>11.7</v>
      </c>
      <c r="I53" t="n">
        <v>0.12</v>
      </c>
      <c r="J53" t="n">
        <v>-4.53</v>
      </c>
    </row>
    <row r="54">
      <c r="A54" s="10" t="n">
        <v>45344</v>
      </c>
      <c r="B54" t="n">
        <v>19122</v>
      </c>
      <c r="C54" t="n">
        <v>16</v>
      </c>
      <c r="D54" t="n">
        <v>15</v>
      </c>
      <c r="E54" t="n">
        <v>19091</v>
      </c>
      <c r="F54" t="n">
        <v>2767</v>
      </c>
      <c r="G54" t="n">
        <v>85.5</v>
      </c>
      <c r="H54" t="n">
        <v>14.5</v>
      </c>
      <c r="I54" t="n">
        <v>0.08</v>
      </c>
      <c r="J54" t="n">
        <v>-1.64</v>
      </c>
    </row>
    <row r="55">
      <c r="A55" s="10" t="n">
        <v>45345</v>
      </c>
      <c r="B55" t="n">
        <v>19175</v>
      </c>
      <c r="C55" t="n">
        <v>11</v>
      </c>
      <c r="D55" t="n">
        <v>13</v>
      </c>
      <c r="E55" t="n">
        <v>19151</v>
      </c>
      <c r="F55" t="n">
        <v>2321</v>
      </c>
      <c r="G55" t="n">
        <v>87.90000000000001</v>
      </c>
      <c r="H55" t="n">
        <v>12.1</v>
      </c>
      <c r="I55" t="n">
        <v>0.06</v>
      </c>
      <c r="J55" t="n">
        <v>-2.81</v>
      </c>
    </row>
    <row r="56">
      <c r="A56" s="10" t="n">
        <v>45346</v>
      </c>
      <c r="B56" t="n">
        <v>16473</v>
      </c>
      <c r="C56" t="n">
        <v>16</v>
      </c>
      <c r="D56" t="n">
        <v>10</v>
      </c>
      <c r="E56" t="n">
        <v>16447</v>
      </c>
      <c r="F56" t="n">
        <v>2064</v>
      </c>
      <c r="G56" t="n">
        <v>87.5</v>
      </c>
      <c r="H56" t="n">
        <v>12.6</v>
      </c>
      <c r="I56" t="n">
        <v>0.1</v>
      </c>
      <c r="J56" t="n">
        <v>-3.48</v>
      </c>
    </row>
    <row r="57">
      <c r="A57" s="10" t="n">
        <v>45347</v>
      </c>
      <c r="B57" t="n">
        <v>19113</v>
      </c>
      <c r="C57" t="n">
        <v>18</v>
      </c>
      <c r="D57" t="n">
        <v>11</v>
      </c>
      <c r="E57" t="n">
        <v>19084</v>
      </c>
      <c r="F57" t="n">
        <v>2545</v>
      </c>
      <c r="G57" t="n">
        <v>86.7</v>
      </c>
      <c r="H57" t="n">
        <v>13.3</v>
      </c>
      <c r="I57" t="n">
        <v>0.09</v>
      </c>
      <c r="J57" t="n">
        <v>-2.56</v>
      </c>
    </row>
    <row r="58">
      <c r="A58" s="10" t="n">
        <v>45348</v>
      </c>
      <c r="B58" t="n">
        <v>19108</v>
      </c>
      <c r="C58" t="n">
        <v>30</v>
      </c>
      <c r="D58" t="n">
        <v>28</v>
      </c>
      <c r="E58" t="n">
        <v>19050</v>
      </c>
      <c r="F58" t="n">
        <v>3220</v>
      </c>
      <c r="G58" t="n">
        <v>83.09999999999999</v>
      </c>
      <c r="H58" t="n">
        <v>16.9</v>
      </c>
      <c r="I58" t="n">
        <v>0.16</v>
      </c>
      <c r="J58" t="n">
        <v>0.04</v>
      </c>
    </row>
    <row r="59">
      <c r="A59" s="10" t="n">
        <v>45349</v>
      </c>
      <c r="B59" t="n">
        <v>17625</v>
      </c>
      <c r="C59" t="n">
        <v>153</v>
      </c>
      <c r="D59" t="n">
        <v>154</v>
      </c>
      <c r="E59" t="n">
        <v>17318</v>
      </c>
      <c r="F59" t="n">
        <v>3430</v>
      </c>
      <c r="G59" t="n">
        <v>80.2</v>
      </c>
      <c r="H59" t="n">
        <v>19.8</v>
      </c>
      <c r="I59" t="n">
        <v>0.87</v>
      </c>
      <c r="J59" t="n">
        <v>6.49</v>
      </c>
    </row>
    <row r="60">
      <c r="A60" s="10" t="n">
        <v>45350</v>
      </c>
      <c r="B60" t="n">
        <v>17860</v>
      </c>
      <c r="C60" t="n">
        <v>44</v>
      </c>
      <c r="D60" t="n">
        <v>18</v>
      </c>
      <c r="E60" t="n">
        <v>17798</v>
      </c>
      <c r="F60" t="n">
        <v>3649</v>
      </c>
      <c r="G60" t="n">
        <v>79.5</v>
      </c>
      <c r="H60" t="n">
        <v>20.5</v>
      </c>
      <c r="I60" t="n">
        <v>0.25</v>
      </c>
      <c r="J60" t="n">
        <v>5.07</v>
      </c>
    </row>
    <row r="61">
      <c r="A61" s="10" t="n">
        <v>45351</v>
      </c>
      <c r="B61" t="n">
        <v>19105</v>
      </c>
      <c r="C61" t="n">
        <v>86</v>
      </c>
      <c r="D61" t="n">
        <v>17</v>
      </c>
      <c r="E61" t="n">
        <v>19002</v>
      </c>
      <c r="F61" t="n">
        <v>2912</v>
      </c>
      <c r="G61" t="n">
        <v>84.7</v>
      </c>
      <c r="H61" t="n">
        <v>15.3</v>
      </c>
      <c r="I61" t="n">
        <v>0.45</v>
      </c>
      <c r="J61" t="n">
        <v>1.94</v>
      </c>
    </row>
    <row r="62">
      <c r="A62" s="10" t="n">
        <v>45352</v>
      </c>
      <c r="B62" t="n">
        <v>19157</v>
      </c>
      <c r="C62" t="n">
        <v>81</v>
      </c>
      <c r="D62" t="n">
        <v>26</v>
      </c>
      <c r="E62" t="n">
        <v>19050</v>
      </c>
      <c r="F62" t="n">
        <v>3315</v>
      </c>
      <c r="G62" t="n">
        <v>82.59999999999999</v>
      </c>
      <c r="H62" t="n">
        <v>17.4</v>
      </c>
      <c r="I62" t="n">
        <v>0.42</v>
      </c>
      <c r="J62" t="n">
        <v>2.79</v>
      </c>
    </row>
    <row r="63">
      <c r="A63" s="10" t="n">
        <v>45353</v>
      </c>
      <c r="B63" t="n">
        <v>16492</v>
      </c>
      <c r="C63" t="n">
        <v>194</v>
      </c>
      <c r="D63" t="n">
        <v>101</v>
      </c>
      <c r="E63" t="n">
        <v>16197</v>
      </c>
      <c r="F63" t="n">
        <v>3818</v>
      </c>
      <c r="G63" t="n">
        <v>76.40000000000001</v>
      </c>
      <c r="H63" t="n">
        <v>23.6</v>
      </c>
      <c r="I63" t="n">
        <v>1.18</v>
      </c>
      <c r="J63" t="n">
        <v>9.039999999999999</v>
      </c>
    </row>
    <row r="64">
      <c r="A64" s="10" t="n">
        <v>45354</v>
      </c>
      <c r="B64" t="n">
        <v>19079</v>
      </c>
      <c r="C64" t="n">
        <v>195</v>
      </c>
      <c r="D64" t="n">
        <v>75</v>
      </c>
      <c r="E64" t="n">
        <v>18809</v>
      </c>
      <c r="F64" t="n">
        <v>5215</v>
      </c>
      <c r="G64" t="n">
        <v>72.3</v>
      </c>
      <c r="H64" t="n">
        <v>27.7</v>
      </c>
      <c r="I64" t="n">
        <v>1.02</v>
      </c>
      <c r="J64" t="n">
        <v>13.22</v>
      </c>
    </row>
    <row r="65">
      <c r="A65" s="10" t="n">
        <v>45355</v>
      </c>
      <c r="B65" t="n">
        <v>19085</v>
      </c>
      <c r="C65" t="n">
        <v>44</v>
      </c>
      <c r="D65" t="n">
        <v>45</v>
      </c>
      <c r="E65" t="n">
        <v>18996</v>
      </c>
      <c r="F65" t="n">
        <v>2774</v>
      </c>
      <c r="G65" t="n">
        <v>85.40000000000001</v>
      </c>
      <c r="H65" t="n">
        <v>14.6</v>
      </c>
      <c r="I65" t="n">
        <v>0.23</v>
      </c>
      <c r="J65" t="n">
        <v>-0.48</v>
      </c>
    </row>
    <row r="66">
      <c r="A66" s="10" t="n">
        <v>45356</v>
      </c>
      <c r="B66" t="n">
        <v>17603</v>
      </c>
      <c r="C66" t="n">
        <v>24</v>
      </c>
      <c r="D66" t="n">
        <v>25</v>
      </c>
      <c r="E66" t="n">
        <v>17554</v>
      </c>
      <c r="F66" t="n">
        <v>2247</v>
      </c>
      <c r="G66" t="n">
        <v>87.2</v>
      </c>
      <c r="H66" t="n">
        <v>12.8</v>
      </c>
      <c r="I66" t="n">
        <v>0.14</v>
      </c>
      <c r="J66" t="n">
        <v>-2.38</v>
      </c>
    </row>
    <row r="67">
      <c r="A67" s="10" t="n">
        <v>45357</v>
      </c>
      <c r="B67" t="n">
        <v>17967</v>
      </c>
      <c r="C67" t="n">
        <v>11</v>
      </c>
      <c r="D67" t="n">
        <v>22</v>
      </c>
      <c r="E67" t="n">
        <v>17934</v>
      </c>
      <c r="F67" t="n">
        <v>2477</v>
      </c>
      <c r="G67" t="n">
        <v>86.2</v>
      </c>
      <c r="H67" t="n">
        <v>13.8</v>
      </c>
      <c r="I67" t="n">
        <v>0.06</v>
      </c>
      <c r="J67" t="n">
        <v>-1.28</v>
      </c>
    </row>
    <row r="68">
      <c r="A68" s="10" t="n">
        <v>45358</v>
      </c>
      <c r="B68" t="n">
        <v>19830</v>
      </c>
      <c r="C68" t="n">
        <v>374</v>
      </c>
      <c r="D68" t="n">
        <v>91</v>
      </c>
      <c r="E68" t="n">
        <v>19365</v>
      </c>
      <c r="F68" t="n">
        <v>4309</v>
      </c>
      <c r="G68" t="n">
        <v>77.8</v>
      </c>
      <c r="H68" t="n">
        <v>22.3</v>
      </c>
      <c r="I68" t="n">
        <v>1.89</v>
      </c>
      <c r="J68" t="n">
        <v>8.57</v>
      </c>
    </row>
    <row r="69">
      <c r="A69" s="10" t="n">
        <v>45359</v>
      </c>
      <c r="B69" t="n">
        <v>19882</v>
      </c>
      <c r="C69" t="n">
        <v>136</v>
      </c>
      <c r="D69" t="n">
        <v>42</v>
      </c>
      <c r="E69" t="n">
        <v>19704</v>
      </c>
      <c r="F69" t="n">
        <v>5056</v>
      </c>
      <c r="G69" t="n">
        <v>74.3</v>
      </c>
      <c r="H69" t="n">
        <v>25.7</v>
      </c>
      <c r="I69" t="n">
        <v>0.68</v>
      </c>
      <c r="J69" t="n">
        <v>9.529999999999999</v>
      </c>
    </row>
    <row r="70">
      <c r="A70" s="10" t="n">
        <v>45360</v>
      </c>
      <c r="B70" t="n">
        <v>17374</v>
      </c>
      <c r="C70" t="n">
        <v>754</v>
      </c>
      <c r="D70" t="n">
        <v>34</v>
      </c>
      <c r="E70" t="n">
        <v>16586</v>
      </c>
      <c r="F70" t="n">
        <v>4997</v>
      </c>
      <c r="G70" t="n">
        <v>69.90000000000001</v>
      </c>
      <c r="H70" t="n">
        <v>30.1</v>
      </c>
      <c r="I70" t="n">
        <v>4.34</v>
      </c>
      <c r="J70" t="n">
        <v>23.31</v>
      </c>
    </row>
    <row r="71">
      <c r="A71" s="10" t="n">
        <v>45361</v>
      </c>
      <c r="B71" t="n">
        <v>19623</v>
      </c>
      <c r="C71" t="n">
        <v>283</v>
      </c>
      <c r="D71" t="n">
        <v>28</v>
      </c>
      <c r="E71" t="n">
        <v>19312</v>
      </c>
      <c r="F71" t="n">
        <v>5663</v>
      </c>
      <c r="G71" t="n">
        <v>70.7</v>
      </c>
      <c r="H71" t="n">
        <v>29.3</v>
      </c>
      <c r="I71" t="n">
        <v>1.44</v>
      </c>
      <c r="J71" t="n">
        <v>15.77</v>
      </c>
    </row>
    <row r="72">
      <c r="A72" s="10" t="n">
        <v>45362</v>
      </c>
      <c r="B72" t="n">
        <v>19977</v>
      </c>
      <c r="C72" t="n">
        <v>55</v>
      </c>
      <c r="D72" t="n">
        <v>10</v>
      </c>
      <c r="E72" t="n">
        <v>19912</v>
      </c>
      <c r="F72" t="n">
        <v>3795</v>
      </c>
      <c r="G72" t="n">
        <v>80.90000000000001</v>
      </c>
      <c r="H72" t="n">
        <v>19.1</v>
      </c>
      <c r="I72" t="n">
        <v>0.28</v>
      </c>
      <c r="J72" t="n">
        <v>4.84</v>
      </c>
    </row>
    <row r="73">
      <c r="A73" s="10" t="n">
        <v>45363</v>
      </c>
      <c r="B73" t="n">
        <v>18541</v>
      </c>
      <c r="C73" t="n">
        <v>25</v>
      </c>
      <c r="D73" t="n">
        <v>10</v>
      </c>
      <c r="E73" t="n">
        <v>18506</v>
      </c>
      <c r="F73" t="n">
        <v>1829</v>
      </c>
      <c r="G73" t="n">
        <v>90.09999999999999</v>
      </c>
      <c r="H73" t="n">
        <v>9.9</v>
      </c>
      <c r="I73" t="n">
        <v>0.13</v>
      </c>
      <c r="J73" t="n">
        <v>-5.06</v>
      </c>
    </row>
    <row r="74">
      <c r="A74" s="10" t="n">
        <v>45364</v>
      </c>
      <c r="B74" t="n">
        <v>18804</v>
      </c>
      <c r="C74" t="n">
        <v>61</v>
      </c>
      <c r="D74" t="n">
        <v>27</v>
      </c>
      <c r="E74" t="n">
        <v>18716</v>
      </c>
      <c r="F74" t="n">
        <v>2426</v>
      </c>
      <c r="G74" t="n">
        <v>87</v>
      </c>
      <c r="H74" t="n">
        <v>13</v>
      </c>
      <c r="I74" t="n">
        <v>0.32</v>
      </c>
      <c r="J74" t="n">
        <v>-2.95</v>
      </c>
    </row>
    <row r="75">
      <c r="A75" s="10" t="n">
        <v>45365</v>
      </c>
      <c r="B75" t="n">
        <v>20107</v>
      </c>
      <c r="C75" t="n">
        <v>1064</v>
      </c>
      <c r="D75" t="n">
        <v>86</v>
      </c>
      <c r="E75" t="n">
        <v>18957</v>
      </c>
      <c r="F75" t="n">
        <v>4940</v>
      </c>
      <c r="G75" t="n">
        <v>73.90000000000001</v>
      </c>
      <c r="H75" t="n">
        <v>26.1</v>
      </c>
      <c r="I75" t="n">
        <v>5.29</v>
      </c>
      <c r="J75" t="n">
        <v>11.99</v>
      </c>
    </row>
    <row r="76">
      <c r="A76" s="10" t="n">
        <v>45366</v>
      </c>
      <c r="B76" t="n">
        <v>20120</v>
      </c>
      <c r="C76" t="n">
        <v>239</v>
      </c>
      <c r="D76" t="n">
        <v>57</v>
      </c>
      <c r="E76" t="n">
        <v>19824</v>
      </c>
      <c r="F76" t="n">
        <v>6019</v>
      </c>
      <c r="G76" t="n">
        <v>69.59999999999999</v>
      </c>
      <c r="H76" t="n">
        <v>30.4</v>
      </c>
      <c r="I76" t="n">
        <v>1.19</v>
      </c>
      <c r="J76" t="n">
        <v>16.16</v>
      </c>
    </row>
    <row r="77">
      <c r="A77" s="10" t="n">
        <v>45367</v>
      </c>
      <c r="B77" t="n">
        <v>17720</v>
      </c>
      <c r="C77" t="n">
        <v>158</v>
      </c>
      <c r="D77" t="n">
        <v>33</v>
      </c>
      <c r="E77" t="n">
        <v>17529</v>
      </c>
      <c r="F77" t="n">
        <v>4059</v>
      </c>
      <c r="G77" t="n">
        <v>76.8</v>
      </c>
      <c r="H77" t="n">
        <v>23.2</v>
      </c>
      <c r="I77" t="n">
        <v>0.89</v>
      </c>
      <c r="J77" t="n">
        <v>8.15</v>
      </c>
    </row>
    <row r="78">
      <c r="A78" s="10" t="n">
        <v>45368</v>
      </c>
      <c r="B78" t="n">
        <v>19828</v>
      </c>
      <c r="C78" t="n">
        <v>65</v>
      </c>
      <c r="D78" t="n">
        <v>25</v>
      </c>
      <c r="E78" t="n">
        <v>19738</v>
      </c>
      <c r="F78" t="n">
        <v>4551</v>
      </c>
      <c r="G78" t="n">
        <v>76.90000000000001</v>
      </c>
      <c r="H78" t="n">
        <v>23.1</v>
      </c>
      <c r="I78" t="n">
        <v>0.33</v>
      </c>
      <c r="J78" t="n">
        <v>7.58</v>
      </c>
    </row>
    <row r="79">
      <c r="A79" s="10" t="n">
        <v>45369</v>
      </c>
      <c r="B79" t="n">
        <v>20102</v>
      </c>
      <c r="C79" t="n">
        <v>34</v>
      </c>
      <c r="D79" t="n">
        <v>13</v>
      </c>
      <c r="E79" t="n">
        <v>20055</v>
      </c>
      <c r="F79" t="n">
        <v>4324</v>
      </c>
      <c r="G79" t="n">
        <v>78.40000000000001</v>
      </c>
      <c r="H79" t="n">
        <v>21.6</v>
      </c>
      <c r="I79" t="n">
        <v>0.17</v>
      </c>
      <c r="J79" t="n">
        <v>5.48</v>
      </c>
    </row>
    <row r="80">
      <c r="A80" s="10" t="n">
        <v>45370</v>
      </c>
      <c r="B80" t="n">
        <v>18604</v>
      </c>
      <c r="C80" t="n">
        <v>19</v>
      </c>
      <c r="D80" t="n">
        <v>21</v>
      </c>
      <c r="E80" t="n">
        <v>18564</v>
      </c>
      <c r="F80" t="n">
        <v>1928</v>
      </c>
      <c r="G80" t="n">
        <v>89.59999999999999</v>
      </c>
      <c r="H80" t="n">
        <v>10.4</v>
      </c>
      <c r="I80" t="n">
        <v>0.1</v>
      </c>
      <c r="J80" t="n">
        <v>-4.75</v>
      </c>
    </row>
    <row r="81">
      <c r="A81" s="10" t="n">
        <v>45371</v>
      </c>
      <c r="B81" t="n">
        <v>18862</v>
      </c>
      <c r="C81" t="n">
        <v>22</v>
      </c>
      <c r="D81" t="n">
        <v>17</v>
      </c>
      <c r="E81" t="n">
        <v>18823</v>
      </c>
      <c r="F81" t="n">
        <v>2495</v>
      </c>
      <c r="G81" t="n">
        <v>86.7</v>
      </c>
      <c r="H81" t="n">
        <v>13.3</v>
      </c>
      <c r="I81" t="n">
        <v>0.12</v>
      </c>
      <c r="J81" t="n">
        <v>-2.27</v>
      </c>
    </row>
    <row r="82">
      <c r="A82" s="10" t="n">
        <v>45372</v>
      </c>
      <c r="B82" t="n">
        <v>20130</v>
      </c>
      <c r="C82" t="n">
        <v>75</v>
      </c>
      <c r="D82" t="n">
        <v>55</v>
      </c>
      <c r="E82" t="n">
        <v>20000</v>
      </c>
      <c r="F82" t="n">
        <v>3507</v>
      </c>
      <c r="G82" t="n">
        <v>82.5</v>
      </c>
      <c r="H82" t="n">
        <v>17.5</v>
      </c>
      <c r="I82" t="n">
        <v>0.37</v>
      </c>
      <c r="J82" t="n">
        <v>2.76</v>
      </c>
    </row>
    <row r="83">
      <c r="A83" s="10" t="n">
        <v>45373</v>
      </c>
      <c r="B83" t="n">
        <v>20132</v>
      </c>
      <c r="C83" t="n">
        <v>120</v>
      </c>
      <c r="D83" t="n">
        <v>18</v>
      </c>
      <c r="E83" t="n">
        <v>19994</v>
      </c>
      <c r="F83" t="n">
        <v>5130</v>
      </c>
      <c r="G83" t="n">
        <v>74.3</v>
      </c>
      <c r="H83" t="n">
        <v>25.7</v>
      </c>
      <c r="I83" t="n">
        <v>0.6</v>
      </c>
      <c r="J83" t="n">
        <v>10.53</v>
      </c>
    </row>
    <row r="84">
      <c r="A84" s="10" t="n">
        <v>45374</v>
      </c>
      <c r="B84" t="n">
        <v>17718</v>
      </c>
      <c r="C84" t="n">
        <v>292</v>
      </c>
      <c r="D84" t="n">
        <v>125</v>
      </c>
      <c r="E84" t="n">
        <v>17301</v>
      </c>
      <c r="F84" t="n">
        <v>5144</v>
      </c>
      <c r="G84" t="n">
        <v>70.3</v>
      </c>
      <c r="H84" t="n">
        <v>29.7</v>
      </c>
      <c r="I84" t="n">
        <v>1.65</v>
      </c>
      <c r="J84" t="n">
        <v>19.35</v>
      </c>
    </row>
    <row r="85">
      <c r="A85" s="10" t="n">
        <v>45375</v>
      </c>
      <c r="B85" t="n">
        <v>19802</v>
      </c>
      <c r="C85" t="n">
        <v>323</v>
      </c>
      <c r="D85" t="n">
        <v>28</v>
      </c>
      <c r="E85" t="n">
        <v>19451</v>
      </c>
      <c r="F85" t="n">
        <v>4879</v>
      </c>
      <c r="G85" t="n">
        <v>74.90000000000001</v>
      </c>
      <c r="H85" t="n">
        <v>25.1</v>
      </c>
      <c r="I85" t="n">
        <v>1.63</v>
      </c>
      <c r="J85" t="n">
        <v>11.03</v>
      </c>
    </row>
    <row r="86">
      <c r="A86" s="10" t="n">
        <v>45376</v>
      </c>
      <c r="B86" t="n">
        <v>20096</v>
      </c>
      <c r="C86" t="n">
        <v>85</v>
      </c>
      <c r="D86" t="n">
        <v>39</v>
      </c>
      <c r="E86" t="n">
        <v>19972</v>
      </c>
      <c r="F86" t="n">
        <v>4119</v>
      </c>
      <c r="G86" t="n">
        <v>79.40000000000001</v>
      </c>
      <c r="H86" t="n">
        <v>20.6</v>
      </c>
      <c r="I86" t="n">
        <v>0.42</v>
      </c>
      <c r="J86" t="n">
        <v>5.31</v>
      </c>
    </row>
    <row r="87">
      <c r="A87" s="10" t="n">
        <v>45377</v>
      </c>
      <c r="B87" t="n">
        <v>18601</v>
      </c>
      <c r="C87" t="n">
        <v>27</v>
      </c>
      <c r="D87" t="n">
        <v>21</v>
      </c>
      <c r="E87" t="n">
        <v>18553</v>
      </c>
      <c r="F87" t="n">
        <v>3328</v>
      </c>
      <c r="G87" t="n">
        <v>82.09999999999999</v>
      </c>
      <c r="H87" t="n">
        <v>17.9</v>
      </c>
      <c r="I87" t="n">
        <v>0.15</v>
      </c>
      <c r="J87" t="n">
        <v>3.52</v>
      </c>
    </row>
    <row r="88">
      <c r="A88" s="10" t="n">
        <v>45378</v>
      </c>
      <c r="B88" t="n">
        <v>18863</v>
      </c>
      <c r="C88" t="n">
        <v>179</v>
      </c>
      <c r="D88" t="n">
        <v>43</v>
      </c>
      <c r="E88" t="n">
        <v>18641</v>
      </c>
      <c r="F88" t="n">
        <v>4816</v>
      </c>
      <c r="G88" t="n">
        <v>74.2</v>
      </c>
      <c r="H88" t="n">
        <v>25.8</v>
      </c>
      <c r="I88" t="n">
        <v>0.95</v>
      </c>
      <c r="J88" t="n">
        <v>16.23</v>
      </c>
    </row>
    <row r="89">
      <c r="A89" s="10" t="n">
        <v>45379</v>
      </c>
      <c r="B89" t="n">
        <v>20129</v>
      </c>
      <c r="C89" t="n">
        <v>42</v>
      </c>
      <c r="D89" t="n">
        <v>27</v>
      </c>
      <c r="E89" t="n">
        <v>20060</v>
      </c>
      <c r="F89" t="n">
        <v>5351</v>
      </c>
      <c r="G89" t="n">
        <v>73.3</v>
      </c>
      <c r="H89" t="n">
        <v>26.7</v>
      </c>
      <c r="I89" t="n">
        <v>0.21</v>
      </c>
      <c r="J89" t="n">
        <v>12.17</v>
      </c>
    </row>
    <row r="90">
      <c r="A90" s="10" t="n">
        <v>45380</v>
      </c>
      <c r="B90" t="n">
        <v>20134</v>
      </c>
      <c r="C90" t="n">
        <v>44</v>
      </c>
      <c r="D90" t="n">
        <v>29</v>
      </c>
      <c r="E90" t="n">
        <v>20061</v>
      </c>
      <c r="F90" t="n">
        <v>3500</v>
      </c>
      <c r="G90" t="n">
        <v>82.59999999999999</v>
      </c>
      <c r="H90" t="n">
        <v>17.5</v>
      </c>
      <c r="I90" t="n">
        <v>0.22</v>
      </c>
      <c r="J90" t="n">
        <v>3.12</v>
      </c>
    </row>
    <row r="91">
      <c r="A91" s="10" t="n">
        <v>45381</v>
      </c>
      <c r="B91" t="n">
        <v>17714</v>
      </c>
      <c r="C91" t="n">
        <v>35</v>
      </c>
      <c r="D91" t="n">
        <v>36</v>
      </c>
      <c r="E91" t="n">
        <v>17643</v>
      </c>
      <c r="F91" t="n">
        <v>2851</v>
      </c>
      <c r="G91" t="n">
        <v>83.8</v>
      </c>
      <c r="H91" t="n">
        <v>16.2</v>
      </c>
      <c r="I91" t="n">
        <v>0.2</v>
      </c>
      <c r="J91" t="n">
        <v>0.92</v>
      </c>
    </row>
    <row r="92">
      <c r="A92" s="10" t="n">
        <v>45382</v>
      </c>
      <c r="B92" t="n">
        <v>19691</v>
      </c>
      <c r="C92" t="n">
        <v>60</v>
      </c>
      <c r="D92" t="n">
        <v>25</v>
      </c>
      <c r="E92" t="n">
        <v>19606</v>
      </c>
      <c r="F92" t="n">
        <v>3170</v>
      </c>
      <c r="G92" t="n">
        <v>83.8</v>
      </c>
      <c r="H92" t="n">
        <v>16.2</v>
      </c>
      <c r="I92" t="n">
        <v>0.3</v>
      </c>
      <c r="J92" t="n">
        <v>0.51</v>
      </c>
    </row>
    <row r="93">
      <c r="A93" s="10" t="n">
        <v>45383</v>
      </c>
      <c r="B93" t="n">
        <v>20101</v>
      </c>
      <c r="C93" t="n">
        <v>69</v>
      </c>
      <c r="D93" t="n">
        <v>98</v>
      </c>
      <c r="E93" t="n">
        <v>19934</v>
      </c>
      <c r="F93" t="n">
        <v>4082</v>
      </c>
      <c r="G93" t="n">
        <v>79.5</v>
      </c>
      <c r="H93" t="n">
        <v>20.5</v>
      </c>
      <c r="I93" t="n">
        <v>0.34</v>
      </c>
      <c r="J93" t="n">
        <v>6.61</v>
      </c>
    </row>
    <row r="94">
      <c r="A94" s="10" t="n">
        <v>45384</v>
      </c>
      <c r="B94" t="n">
        <v>18631</v>
      </c>
      <c r="C94" t="n">
        <v>88</v>
      </c>
      <c r="D94" t="n">
        <v>33</v>
      </c>
      <c r="E94" t="n">
        <v>18510</v>
      </c>
      <c r="F94" t="n">
        <v>3456</v>
      </c>
      <c r="G94" t="n">
        <v>81.3</v>
      </c>
      <c r="H94" t="n">
        <v>18.7</v>
      </c>
      <c r="I94" t="n">
        <v>0.47</v>
      </c>
      <c r="J94" t="n">
        <v>3.81</v>
      </c>
    </row>
    <row r="95">
      <c r="A95" s="10" t="n">
        <v>45385</v>
      </c>
      <c r="B95" t="n">
        <v>18847</v>
      </c>
      <c r="C95" t="n">
        <v>1020</v>
      </c>
      <c r="D95" t="n">
        <v>98</v>
      </c>
      <c r="E95" t="n">
        <v>17729</v>
      </c>
      <c r="F95" t="n">
        <v>5381</v>
      </c>
      <c r="G95" t="n">
        <v>69.7</v>
      </c>
      <c r="H95" t="n">
        <v>30.4</v>
      </c>
      <c r="I95" t="n">
        <v>5.41</v>
      </c>
      <c r="J95" t="n">
        <v>26.59</v>
      </c>
    </row>
    <row r="96">
      <c r="A96" s="10" t="n">
        <v>45386</v>
      </c>
      <c r="B96" t="n">
        <v>20291</v>
      </c>
      <c r="C96" t="n">
        <v>355</v>
      </c>
      <c r="D96" t="n">
        <v>21</v>
      </c>
      <c r="E96" t="n">
        <v>19915</v>
      </c>
      <c r="F96" t="n">
        <v>5134</v>
      </c>
      <c r="G96" t="n">
        <v>74.2</v>
      </c>
      <c r="H96" t="n">
        <v>25.8</v>
      </c>
      <c r="I96" t="n">
        <v>1.75</v>
      </c>
      <c r="J96" t="n">
        <v>13.7</v>
      </c>
    </row>
    <row r="97">
      <c r="A97" s="10" t="n">
        <v>45387</v>
      </c>
      <c r="B97" t="n">
        <v>20364</v>
      </c>
      <c r="C97" t="n">
        <v>91</v>
      </c>
      <c r="D97" t="n">
        <v>46</v>
      </c>
      <c r="E97" t="n">
        <v>20227</v>
      </c>
      <c r="F97" t="n">
        <v>3772</v>
      </c>
      <c r="G97" t="n">
        <v>81.40000000000001</v>
      </c>
      <c r="H97" t="n">
        <v>18.7</v>
      </c>
      <c r="I97" t="n">
        <v>0.45</v>
      </c>
      <c r="J97" t="n">
        <v>4.61</v>
      </c>
    </row>
    <row r="98">
      <c r="A98" s="10" t="n">
        <v>45388</v>
      </c>
      <c r="B98" t="n">
        <v>17949</v>
      </c>
      <c r="C98" t="n">
        <v>48</v>
      </c>
      <c r="D98" t="n">
        <v>30</v>
      </c>
      <c r="E98" t="n">
        <v>17871</v>
      </c>
      <c r="F98" t="n">
        <v>2609</v>
      </c>
      <c r="G98" t="n">
        <v>85.40000000000001</v>
      </c>
      <c r="H98" t="n">
        <v>14.6</v>
      </c>
      <c r="I98" t="n">
        <v>0.27</v>
      </c>
      <c r="J98" t="n">
        <v>-0.9399999999999999</v>
      </c>
    </row>
    <row r="99">
      <c r="A99" s="10" t="n">
        <v>45389</v>
      </c>
      <c r="B99" t="n">
        <v>19956</v>
      </c>
      <c r="C99" t="n">
        <v>25</v>
      </c>
      <c r="D99" t="n">
        <v>14</v>
      </c>
      <c r="E99" t="n">
        <v>19917</v>
      </c>
      <c r="F99" t="n">
        <v>2896</v>
      </c>
      <c r="G99" t="n">
        <v>85.5</v>
      </c>
      <c r="H99" t="n">
        <v>14.5</v>
      </c>
      <c r="I99" t="n">
        <v>0.13</v>
      </c>
      <c r="J99" t="n">
        <v>-0.78</v>
      </c>
    </row>
    <row r="100">
      <c r="A100" s="10" t="n">
        <v>45390</v>
      </c>
      <c r="B100" t="n">
        <v>20302</v>
      </c>
      <c r="C100" t="n">
        <v>76</v>
      </c>
      <c r="D100" t="n">
        <v>15</v>
      </c>
      <c r="E100" t="n">
        <v>20211</v>
      </c>
      <c r="F100" t="n">
        <v>3173</v>
      </c>
      <c r="G100" t="n">
        <v>84.3</v>
      </c>
      <c r="H100" t="n">
        <v>15.7</v>
      </c>
      <c r="I100" t="n">
        <v>0.37</v>
      </c>
      <c r="J100" t="n">
        <v>0.48</v>
      </c>
    </row>
    <row r="101">
      <c r="A101" s="10" t="n">
        <v>45391</v>
      </c>
      <c r="B101" t="n">
        <v>18698</v>
      </c>
      <c r="C101" t="n">
        <v>131</v>
      </c>
      <c r="D101" t="n">
        <v>26</v>
      </c>
      <c r="E101" t="n">
        <v>18541</v>
      </c>
      <c r="F101" t="n">
        <v>3559</v>
      </c>
      <c r="G101" t="n">
        <v>80.8</v>
      </c>
      <c r="H101" t="n">
        <v>19.2</v>
      </c>
      <c r="I101" t="n">
        <v>0.7</v>
      </c>
      <c r="J101" t="n">
        <v>3.68</v>
      </c>
    </row>
    <row r="102">
      <c r="A102" s="10" t="n">
        <v>45392</v>
      </c>
      <c r="B102" t="n">
        <v>18972</v>
      </c>
      <c r="C102" t="n">
        <v>103</v>
      </c>
      <c r="D102" t="n">
        <v>47</v>
      </c>
      <c r="E102" t="n">
        <v>18822</v>
      </c>
      <c r="F102" t="n">
        <v>4149</v>
      </c>
      <c r="G102" t="n">
        <v>78</v>
      </c>
      <c r="H102" t="n">
        <v>22</v>
      </c>
      <c r="I102" t="n">
        <v>0.54</v>
      </c>
      <c r="J102" t="n">
        <v>7.99</v>
      </c>
    </row>
    <row r="103">
      <c r="A103" s="10" t="n">
        <v>45393</v>
      </c>
      <c r="B103" t="n">
        <v>20235</v>
      </c>
      <c r="C103" t="n">
        <v>362</v>
      </c>
      <c r="D103" t="n">
        <v>44</v>
      </c>
      <c r="E103" t="n">
        <v>19829</v>
      </c>
      <c r="F103" t="n">
        <v>6291</v>
      </c>
      <c r="G103" t="n">
        <v>68.3</v>
      </c>
      <c r="H103" t="n">
        <v>31.7</v>
      </c>
      <c r="I103" t="n">
        <v>1.79</v>
      </c>
      <c r="J103" t="n">
        <v>20.84</v>
      </c>
    </row>
    <row r="104">
      <c r="A104" s="10" t="n">
        <v>45394</v>
      </c>
      <c r="B104" t="n">
        <v>20260</v>
      </c>
      <c r="C104" t="n">
        <v>90</v>
      </c>
      <c r="D104" t="n">
        <v>61</v>
      </c>
      <c r="E104" t="n">
        <v>20109</v>
      </c>
      <c r="F104" t="n">
        <v>5325</v>
      </c>
      <c r="G104" t="n">
        <v>73.5</v>
      </c>
      <c r="H104" t="n">
        <v>26.5</v>
      </c>
      <c r="I104" t="n">
        <v>0.44</v>
      </c>
      <c r="J104" t="n">
        <v>12.47</v>
      </c>
    </row>
    <row r="105">
      <c r="A105" s="10" t="n">
        <v>45395</v>
      </c>
      <c r="B105" t="n">
        <v>17211</v>
      </c>
      <c r="C105" t="n">
        <v>11</v>
      </c>
      <c r="D105" t="n">
        <v>25</v>
      </c>
      <c r="E105" t="n">
        <v>17175</v>
      </c>
      <c r="F105" t="n">
        <v>2732</v>
      </c>
      <c r="G105" t="n">
        <v>84.09999999999999</v>
      </c>
      <c r="H105" t="n">
        <v>15.9</v>
      </c>
      <c r="I105" t="n">
        <v>0.06</v>
      </c>
      <c r="J105" t="n">
        <v>0.55</v>
      </c>
    </row>
    <row r="106">
      <c r="A106" s="10" t="n">
        <v>45396</v>
      </c>
      <c r="B106" t="n">
        <v>19881</v>
      </c>
      <c r="C106" t="n">
        <v>32</v>
      </c>
      <c r="D106" t="n">
        <v>36</v>
      </c>
      <c r="E106" t="n">
        <v>19813</v>
      </c>
      <c r="F106" t="n">
        <v>3307</v>
      </c>
      <c r="G106" t="n">
        <v>83.3</v>
      </c>
      <c r="H106" t="n">
        <v>16.7</v>
      </c>
      <c r="I106" t="n">
        <v>0.16</v>
      </c>
      <c r="J106" t="n">
        <v>2.38</v>
      </c>
    </row>
    <row r="107">
      <c r="A107" s="10" t="n">
        <v>45397</v>
      </c>
      <c r="B107" t="n">
        <v>20259</v>
      </c>
      <c r="C107" t="n">
        <v>40</v>
      </c>
      <c r="D107" t="n">
        <v>62</v>
      </c>
      <c r="E107" t="n">
        <v>20157</v>
      </c>
      <c r="F107" t="n">
        <v>3315</v>
      </c>
      <c r="G107" t="n">
        <v>83.59999999999999</v>
      </c>
      <c r="H107" t="n">
        <v>16.5</v>
      </c>
      <c r="I107" t="n">
        <v>0.2</v>
      </c>
      <c r="J107" t="n">
        <v>2.21</v>
      </c>
    </row>
    <row r="108">
      <c r="A108" s="10" t="n">
        <v>45398</v>
      </c>
      <c r="B108" t="n">
        <v>18610</v>
      </c>
      <c r="C108" t="n">
        <v>29</v>
      </c>
      <c r="D108" t="n">
        <v>18</v>
      </c>
      <c r="E108" t="n">
        <v>18563</v>
      </c>
      <c r="F108" t="n">
        <v>2851</v>
      </c>
      <c r="G108" t="n">
        <v>84.59999999999999</v>
      </c>
      <c r="H108" t="n">
        <v>15.4</v>
      </c>
      <c r="I108" t="n">
        <v>0.16</v>
      </c>
      <c r="J108" t="n">
        <v>0.98</v>
      </c>
    </row>
    <row r="109">
      <c r="A109" s="10" t="n">
        <v>45399</v>
      </c>
      <c r="B109" t="n">
        <v>18990</v>
      </c>
      <c r="C109" t="n">
        <v>33</v>
      </c>
      <c r="D109" t="n">
        <v>30</v>
      </c>
      <c r="E109" t="n">
        <v>18927</v>
      </c>
      <c r="F109" t="n">
        <v>3220</v>
      </c>
      <c r="G109" t="n">
        <v>83</v>
      </c>
      <c r="H109" t="n">
        <v>17</v>
      </c>
      <c r="I109" t="n">
        <v>0.17</v>
      </c>
      <c r="J109" t="n">
        <v>2.77</v>
      </c>
    </row>
    <row r="110">
      <c r="A110" s="10" t="n">
        <v>45400</v>
      </c>
      <c r="B110" t="n">
        <v>20276</v>
      </c>
      <c r="C110" t="n">
        <v>37</v>
      </c>
      <c r="D110" t="n">
        <v>27</v>
      </c>
      <c r="E110" t="n">
        <v>20212</v>
      </c>
      <c r="F110" t="n">
        <v>4272</v>
      </c>
      <c r="G110" t="n">
        <v>78.90000000000001</v>
      </c>
      <c r="H110" t="n">
        <v>21.1</v>
      </c>
      <c r="I110" t="n">
        <v>0.18</v>
      </c>
      <c r="J110" t="n">
        <v>5.91</v>
      </c>
    </row>
    <row r="111">
      <c r="A111" s="10" t="n">
        <v>45401</v>
      </c>
      <c r="B111" t="n">
        <v>20300</v>
      </c>
      <c r="C111" t="n">
        <v>35</v>
      </c>
      <c r="D111" t="n">
        <v>32</v>
      </c>
      <c r="E111" t="n">
        <v>20233</v>
      </c>
      <c r="F111" t="n">
        <v>3406</v>
      </c>
      <c r="G111" t="n">
        <v>83.2</v>
      </c>
      <c r="H111" t="n">
        <v>16.8</v>
      </c>
      <c r="I111" t="n">
        <v>0.17</v>
      </c>
      <c r="J111" t="n">
        <v>2.51</v>
      </c>
    </row>
    <row r="112">
      <c r="A112" s="10" t="n">
        <v>45402</v>
      </c>
      <c r="B112" t="n">
        <v>17188</v>
      </c>
      <c r="C112" t="n">
        <v>689</v>
      </c>
      <c r="D112" t="n">
        <v>129</v>
      </c>
      <c r="E112" t="n">
        <v>16370</v>
      </c>
      <c r="F112" t="n">
        <v>4376</v>
      </c>
      <c r="G112" t="n">
        <v>73.3</v>
      </c>
      <c r="H112" t="n">
        <v>26.7</v>
      </c>
      <c r="I112" t="n">
        <v>4.01</v>
      </c>
      <c r="J112" t="n">
        <v>17.82</v>
      </c>
    </row>
    <row r="113">
      <c r="A113" s="10" t="n">
        <v>45403</v>
      </c>
      <c r="B113" t="n">
        <v>19969</v>
      </c>
      <c r="C113" t="n">
        <v>155</v>
      </c>
      <c r="D113" t="n">
        <v>29</v>
      </c>
      <c r="E113" t="n">
        <v>19785</v>
      </c>
      <c r="F113" t="n">
        <v>4198</v>
      </c>
      <c r="G113" t="n">
        <v>78.8</v>
      </c>
      <c r="H113" t="n">
        <v>21.2</v>
      </c>
      <c r="I113" t="n">
        <v>0.78</v>
      </c>
      <c r="J113" t="n">
        <v>7.68</v>
      </c>
    </row>
    <row r="114">
      <c r="A114" s="10" t="n">
        <v>45404</v>
      </c>
      <c r="B114" t="n">
        <v>20324</v>
      </c>
      <c r="C114" t="n">
        <v>24</v>
      </c>
      <c r="D114" t="n">
        <v>40</v>
      </c>
      <c r="E114" t="n">
        <v>20260</v>
      </c>
      <c r="F114" t="n">
        <v>3012</v>
      </c>
      <c r="G114" t="n">
        <v>85.09999999999999</v>
      </c>
      <c r="H114" t="n">
        <v>14.9</v>
      </c>
      <c r="I114" t="n">
        <v>0.12</v>
      </c>
      <c r="J114" t="n">
        <v>1.77</v>
      </c>
    </row>
    <row r="115">
      <c r="A115" s="10" t="n">
        <v>45405</v>
      </c>
      <c r="B115" t="n">
        <v>18664</v>
      </c>
      <c r="C115" t="n">
        <v>34</v>
      </c>
      <c r="D115" t="n">
        <v>16</v>
      </c>
      <c r="E115" t="n">
        <v>18614</v>
      </c>
      <c r="F115" t="n">
        <v>1958</v>
      </c>
      <c r="G115" t="n">
        <v>89.5</v>
      </c>
      <c r="H115" t="n">
        <v>10.5</v>
      </c>
      <c r="I115" t="n">
        <v>0.18</v>
      </c>
      <c r="J115" t="n">
        <v>-3.71</v>
      </c>
    </row>
    <row r="116">
      <c r="A116" s="10" t="n">
        <v>45406</v>
      </c>
      <c r="B116" t="n">
        <v>19043</v>
      </c>
      <c r="C116" t="n">
        <v>17</v>
      </c>
      <c r="D116" t="n">
        <v>26</v>
      </c>
      <c r="E116" t="n">
        <v>19000</v>
      </c>
      <c r="F116" t="n">
        <v>2094</v>
      </c>
      <c r="G116" t="n">
        <v>89</v>
      </c>
      <c r="H116" t="n">
        <v>11</v>
      </c>
      <c r="I116" t="n">
        <v>0.09</v>
      </c>
      <c r="J116" t="n">
        <v>-2.74</v>
      </c>
    </row>
    <row r="117">
      <c r="A117" s="10" t="n">
        <v>45407</v>
      </c>
      <c r="B117" t="n">
        <v>20310</v>
      </c>
      <c r="C117" t="n">
        <v>44</v>
      </c>
      <c r="D117" t="n">
        <v>13</v>
      </c>
      <c r="E117" t="n">
        <v>20253</v>
      </c>
      <c r="F117" t="n">
        <v>3422</v>
      </c>
      <c r="G117" t="n">
        <v>83.09999999999999</v>
      </c>
      <c r="H117" t="n">
        <v>16.9</v>
      </c>
      <c r="I117" t="n">
        <v>0.22</v>
      </c>
      <c r="J117" t="n">
        <v>1.86</v>
      </c>
    </row>
    <row r="118">
      <c r="A118" s="10" t="n">
        <v>45408</v>
      </c>
      <c r="B118" t="n">
        <v>20364</v>
      </c>
      <c r="C118" t="n">
        <v>145</v>
      </c>
      <c r="D118" t="n">
        <v>71</v>
      </c>
      <c r="E118" t="n">
        <v>20148</v>
      </c>
      <c r="F118" t="n">
        <v>5089</v>
      </c>
      <c r="G118" t="n">
        <v>74.7</v>
      </c>
      <c r="H118" t="n">
        <v>25.3</v>
      </c>
      <c r="I118" t="n">
        <v>0.71</v>
      </c>
      <c r="J118" t="n">
        <v>12.84</v>
      </c>
    </row>
    <row r="119">
      <c r="A119" s="10" t="n">
        <v>45409</v>
      </c>
      <c r="B119" t="n">
        <v>17212</v>
      </c>
      <c r="C119" t="n">
        <v>50</v>
      </c>
      <c r="D119" t="n">
        <v>36</v>
      </c>
      <c r="E119" t="n">
        <v>17126</v>
      </c>
      <c r="F119" t="n">
        <v>2877</v>
      </c>
      <c r="G119" t="n">
        <v>83.2</v>
      </c>
      <c r="H119" t="n">
        <v>16.8</v>
      </c>
      <c r="I119" t="n">
        <v>0.29</v>
      </c>
      <c r="J119" t="n">
        <v>1.92</v>
      </c>
    </row>
    <row r="120">
      <c r="A120" s="10" t="n">
        <v>45410</v>
      </c>
      <c r="B120" t="n">
        <v>20004</v>
      </c>
      <c r="C120" t="n">
        <v>116</v>
      </c>
      <c r="D120" t="n">
        <v>29</v>
      </c>
      <c r="E120" t="n">
        <v>19859</v>
      </c>
      <c r="F120" t="n">
        <v>4697</v>
      </c>
      <c r="G120" t="n">
        <v>76.40000000000001</v>
      </c>
      <c r="H120" t="n">
        <v>23.7</v>
      </c>
      <c r="I120" t="n">
        <v>0.58</v>
      </c>
      <c r="J120" t="n">
        <v>8.44</v>
      </c>
    </row>
    <row r="121">
      <c r="A121" s="10" t="n">
        <v>45411</v>
      </c>
      <c r="B121" t="n">
        <v>20321</v>
      </c>
      <c r="C121" t="n">
        <v>49</v>
      </c>
      <c r="D121" t="n">
        <v>44</v>
      </c>
      <c r="E121" t="n">
        <v>20228</v>
      </c>
      <c r="F121" t="n">
        <v>3042</v>
      </c>
      <c r="G121" t="n">
        <v>85</v>
      </c>
      <c r="H121" t="n">
        <v>15</v>
      </c>
      <c r="I121" t="n">
        <v>0.24</v>
      </c>
      <c r="J121" t="n">
        <v>1.2</v>
      </c>
    </row>
    <row r="122">
      <c r="A122" s="10" t="n">
        <v>45412</v>
      </c>
      <c r="B122" t="n">
        <v>18653</v>
      </c>
      <c r="C122" t="n">
        <v>37</v>
      </c>
      <c r="D122" t="n">
        <v>39</v>
      </c>
      <c r="E122" t="n">
        <v>18577</v>
      </c>
      <c r="F122" t="n">
        <v>2253</v>
      </c>
      <c r="G122" t="n">
        <v>87.90000000000001</v>
      </c>
      <c r="H122" t="n">
        <v>12.1</v>
      </c>
      <c r="I122" t="n">
        <v>0.2</v>
      </c>
      <c r="J122" t="n">
        <v>-1.55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19" customWidth="1" min="9" max="9"/>
    <col width="15" customWidth="1" min="10" max="10"/>
    <col width="18" customWidth="1" min="11" max="11"/>
    <col width="25" customWidth="1" min="12" max="12"/>
    <col width="25" customWidth="1" min="13" max="13"/>
  </cols>
  <sheetData>
    <row r="1">
      <c r="A1" s="8" t="inlineStr">
        <is>
          <t>delay_rank</t>
        </is>
      </c>
      <c r="B1" s="8" t="inlineStr">
        <is>
          <t>route</t>
        </is>
      </c>
      <c r="C1" s="8" t="inlineStr">
        <is>
          <t>origin_airport_code</t>
        </is>
      </c>
      <c r="D1" s="8" t="inlineStr">
        <is>
          <t>dest_airport_code</t>
        </is>
      </c>
      <c r="E1" s="8" t="inlineStr">
        <is>
          <t>scheduled_flights</t>
        </is>
      </c>
      <c r="F1" s="8" t="inlineStr">
        <is>
          <t>cancelled_flights</t>
        </is>
      </c>
      <c r="G1" s="8" t="inlineStr">
        <is>
          <t>diverted_flights</t>
        </is>
      </c>
      <c r="H1" s="8" t="inlineStr">
        <is>
          <t>completed_flights</t>
        </is>
      </c>
      <c r="I1" s="8" t="inlineStr">
        <is>
          <t>delayed_flights</t>
        </is>
      </c>
      <c r="J1" s="8" t="inlineStr">
        <is>
          <t>on_time_pct</t>
        </is>
      </c>
      <c r="K1" s="8" t="inlineStr">
        <is>
          <t>delay_rate_pct</t>
        </is>
      </c>
      <c r="L1" s="8" t="inlineStr">
        <is>
          <t>cancellation_rate_pct</t>
        </is>
      </c>
      <c r="M1" s="8" t="inlineStr">
        <is>
          <t>avg_arr_delay_minutes</t>
        </is>
      </c>
    </row>
    <row r="2">
      <c r="A2" t="n">
        <v>1</v>
      </c>
      <c r="B2" t="inlineStr">
        <is>
          <t>PDX-SFO</t>
        </is>
      </c>
      <c r="C2" t="inlineStr">
        <is>
          <t>PDX</t>
        </is>
      </c>
      <c r="D2" t="inlineStr">
        <is>
          <t>SFO</t>
        </is>
      </c>
      <c r="E2" t="n">
        <v>989</v>
      </c>
      <c r="F2" t="n">
        <v>28</v>
      </c>
      <c r="G2" t="n">
        <v>3</v>
      </c>
      <c r="H2" t="n">
        <v>958</v>
      </c>
      <c r="I2" t="n">
        <v>488</v>
      </c>
      <c r="J2" t="n">
        <v>49.1</v>
      </c>
      <c r="K2" t="n">
        <v>50.9</v>
      </c>
      <c r="L2" t="n">
        <v>2.83</v>
      </c>
      <c r="M2" t="n">
        <v>30.45</v>
      </c>
    </row>
    <row r="3">
      <c r="A3" t="n">
        <v>2</v>
      </c>
      <c r="B3" t="inlineStr">
        <is>
          <t>SNA-SFO</t>
        </is>
      </c>
      <c r="C3" t="inlineStr">
        <is>
          <t>SNA</t>
        </is>
      </c>
      <c r="D3" t="inlineStr">
        <is>
          <t>SFO</t>
        </is>
      </c>
      <c r="E3" t="n">
        <v>1326</v>
      </c>
      <c r="F3" t="n">
        <v>24</v>
      </c>
      <c r="G3" t="n">
        <v>10</v>
      </c>
      <c r="H3" t="n">
        <v>1292</v>
      </c>
      <c r="I3" t="n">
        <v>645</v>
      </c>
      <c r="J3" t="n">
        <v>50.1</v>
      </c>
      <c r="K3" t="n">
        <v>49.9</v>
      </c>
      <c r="L3" t="n">
        <v>1.81</v>
      </c>
      <c r="M3" t="n">
        <v>30.15</v>
      </c>
    </row>
    <row r="4">
      <c r="A4" t="n">
        <v>3</v>
      </c>
      <c r="B4" t="inlineStr">
        <is>
          <t>PSP-SFO</t>
        </is>
      </c>
      <c r="C4" t="inlineStr">
        <is>
          <t>PSP</t>
        </is>
      </c>
      <c r="D4" t="inlineStr">
        <is>
          <t>SFO</t>
        </is>
      </c>
      <c r="E4" t="n">
        <v>910</v>
      </c>
      <c r="F4" t="n">
        <v>17</v>
      </c>
      <c r="G4" t="n">
        <v>7</v>
      </c>
      <c r="H4" t="n">
        <v>886</v>
      </c>
      <c r="I4" t="n">
        <v>429</v>
      </c>
      <c r="J4" t="n">
        <v>51.6</v>
      </c>
      <c r="K4" t="n">
        <v>48.4</v>
      </c>
      <c r="L4" t="n">
        <v>1.87</v>
      </c>
      <c r="M4" t="n">
        <v>30.28</v>
      </c>
    </row>
    <row r="5">
      <c r="A5" t="n">
        <v>4</v>
      </c>
      <c r="B5" t="inlineStr">
        <is>
          <t>SAN-SFO</t>
        </is>
      </c>
      <c r="C5" t="inlineStr">
        <is>
          <t>SAN</t>
        </is>
      </c>
      <c r="D5" t="inlineStr">
        <is>
          <t>SFO</t>
        </is>
      </c>
      <c r="E5" t="n">
        <v>1966</v>
      </c>
      <c r="F5" t="n">
        <v>51</v>
      </c>
      <c r="G5" t="n">
        <v>11</v>
      </c>
      <c r="H5" t="n">
        <v>1904</v>
      </c>
      <c r="I5" t="n">
        <v>911</v>
      </c>
      <c r="J5" t="n">
        <v>52.2</v>
      </c>
      <c r="K5" t="n">
        <v>47.9</v>
      </c>
      <c r="L5" t="n">
        <v>2.59</v>
      </c>
      <c r="M5" t="n">
        <v>28.08</v>
      </c>
    </row>
    <row r="6">
      <c r="A6" t="n">
        <v>5</v>
      </c>
      <c r="B6" t="inlineStr">
        <is>
          <t>PHX-SFO</t>
        </is>
      </c>
      <c r="C6" t="inlineStr">
        <is>
          <t>PHX</t>
        </is>
      </c>
      <c r="D6" t="inlineStr">
        <is>
          <t>SFO</t>
        </is>
      </c>
      <c r="E6" t="n">
        <v>1611</v>
      </c>
      <c r="F6" t="n">
        <v>25</v>
      </c>
      <c r="G6" t="n">
        <v>3</v>
      </c>
      <c r="H6" t="n">
        <v>1583</v>
      </c>
      <c r="I6" t="n">
        <v>755</v>
      </c>
      <c r="J6" t="n">
        <v>52.3</v>
      </c>
      <c r="K6" t="n">
        <v>47.7</v>
      </c>
      <c r="L6" t="n">
        <v>1.55</v>
      </c>
      <c r="M6" t="n">
        <v>27.83</v>
      </c>
    </row>
    <row r="7">
      <c r="A7" t="n">
        <v>6</v>
      </c>
      <c r="B7" t="inlineStr">
        <is>
          <t>MIA-SFO</t>
        </is>
      </c>
      <c r="C7" t="inlineStr">
        <is>
          <t>MIA</t>
        </is>
      </c>
      <c r="D7" t="inlineStr">
        <is>
          <t>SFO</t>
        </is>
      </c>
      <c r="E7" t="n">
        <v>528</v>
      </c>
      <c r="F7" t="n">
        <v>16</v>
      </c>
      <c r="G7" t="n">
        <v>8</v>
      </c>
      <c r="H7" t="n">
        <v>504</v>
      </c>
      <c r="I7" t="n">
        <v>240</v>
      </c>
      <c r="J7" t="n">
        <v>52.4</v>
      </c>
      <c r="K7" t="n">
        <v>47.6</v>
      </c>
      <c r="L7" t="n">
        <v>3.03</v>
      </c>
      <c r="M7" t="n">
        <v>30.86</v>
      </c>
    </row>
    <row r="8">
      <c r="A8" t="n">
        <v>7</v>
      </c>
      <c r="B8" t="inlineStr">
        <is>
          <t>DEN-SFO</t>
        </is>
      </c>
      <c r="C8" t="inlineStr">
        <is>
          <t>DEN</t>
        </is>
      </c>
      <c r="D8" t="inlineStr">
        <is>
          <t>SFO</t>
        </is>
      </c>
      <c r="E8" t="n">
        <v>1677</v>
      </c>
      <c r="F8" t="n">
        <v>42</v>
      </c>
      <c r="G8" t="n">
        <v>2</v>
      </c>
      <c r="H8" t="n">
        <v>1633</v>
      </c>
      <c r="I8" t="n">
        <v>737</v>
      </c>
      <c r="J8" t="n">
        <v>54.9</v>
      </c>
      <c r="K8" t="n">
        <v>45.1</v>
      </c>
      <c r="L8" t="n">
        <v>2.5</v>
      </c>
      <c r="M8" t="n">
        <v>26.38</v>
      </c>
    </row>
    <row r="9">
      <c r="A9" t="n">
        <v>8</v>
      </c>
      <c r="B9" t="inlineStr">
        <is>
          <t>LAX-SFO</t>
        </is>
      </c>
      <c r="C9" t="inlineStr">
        <is>
          <t>LAX</t>
        </is>
      </c>
      <c r="D9" t="inlineStr">
        <is>
          <t>SFO</t>
        </is>
      </c>
      <c r="E9" t="n">
        <v>3618</v>
      </c>
      <c r="F9" t="n">
        <v>65</v>
      </c>
      <c r="G9" t="n">
        <v>17</v>
      </c>
      <c r="H9" t="n">
        <v>3536</v>
      </c>
      <c r="I9" t="n">
        <v>1591</v>
      </c>
      <c r="J9" t="n">
        <v>55</v>
      </c>
      <c r="K9" t="n">
        <v>45</v>
      </c>
      <c r="L9" t="n">
        <v>1.8</v>
      </c>
      <c r="M9" t="n">
        <v>25.28</v>
      </c>
    </row>
    <row r="10">
      <c r="A10" t="n">
        <v>9</v>
      </c>
      <c r="B10" t="inlineStr">
        <is>
          <t>FLL-SFO</t>
        </is>
      </c>
      <c r="C10" t="inlineStr">
        <is>
          <t>FLL</t>
        </is>
      </c>
      <c r="D10" t="inlineStr">
        <is>
          <t>SFO</t>
        </is>
      </c>
      <c r="E10" t="n">
        <v>642</v>
      </c>
      <c r="F10" t="n">
        <v>13</v>
      </c>
      <c r="G10" t="n">
        <v>8</v>
      </c>
      <c r="H10" t="n">
        <v>621</v>
      </c>
      <c r="I10" t="n">
        <v>279</v>
      </c>
      <c r="J10" t="n">
        <v>55.1</v>
      </c>
      <c r="K10" t="n">
        <v>44.9</v>
      </c>
      <c r="L10" t="n">
        <v>2.02</v>
      </c>
      <c r="M10" t="n">
        <v>29.61</v>
      </c>
    </row>
    <row r="11">
      <c r="A11" t="n">
        <v>10</v>
      </c>
      <c r="B11" t="inlineStr">
        <is>
          <t>SJU-PHL</t>
        </is>
      </c>
      <c r="C11" t="inlineStr">
        <is>
          <t>SJU</t>
        </is>
      </c>
      <c r="D11" t="inlineStr">
        <is>
          <t>PHL</t>
        </is>
      </c>
      <c r="E11" t="n">
        <v>524</v>
      </c>
      <c r="F11" t="n">
        <v>8</v>
      </c>
      <c r="G11" t="n">
        <v>6</v>
      </c>
      <c r="H11" t="n">
        <v>510</v>
      </c>
      <c r="I11" t="n">
        <v>225</v>
      </c>
      <c r="J11" t="n">
        <v>55.9</v>
      </c>
      <c r="K11" t="n">
        <v>44.1</v>
      </c>
      <c r="L11" t="n">
        <v>1.53</v>
      </c>
      <c r="M11" t="n">
        <v>35.69</v>
      </c>
    </row>
    <row r="12">
      <c r="A12" t="n">
        <v>11</v>
      </c>
      <c r="B12" t="inlineStr">
        <is>
          <t>BUR-SFO</t>
        </is>
      </c>
      <c r="C12" t="inlineStr">
        <is>
          <t>BUR</t>
        </is>
      </c>
      <c r="D12" t="inlineStr">
        <is>
          <t>SFO</t>
        </is>
      </c>
      <c r="E12" t="n">
        <v>1017</v>
      </c>
      <c r="F12" t="n">
        <v>28</v>
      </c>
      <c r="G12" t="n">
        <v>10</v>
      </c>
      <c r="H12" t="n">
        <v>979</v>
      </c>
      <c r="I12" t="n">
        <v>431</v>
      </c>
      <c r="J12" t="n">
        <v>56</v>
      </c>
      <c r="K12" t="n">
        <v>44</v>
      </c>
      <c r="L12" t="n">
        <v>2.75</v>
      </c>
      <c r="M12" t="n">
        <v>26.48</v>
      </c>
    </row>
    <row r="13">
      <c r="A13" t="n">
        <v>12</v>
      </c>
      <c r="B13" t="inlineStr">
        <is>
          <t>LAS-SFO</t>
        </is>
      </c>
      <c r="C13" t="inlineStr">
        <is>
          <t>LAS</t>
        </is>
      </c>
      <c r="D13" t="inlineStr">
        <is>
          <t>SFO</t>
        </is>
      </c>
      <c r="E13" t="n">
        <v>1747</v>
      </c>
      <c r="F13" t="n">
        <v>60</v>
      </c>
      <c r="G13" t="n">
        <v>6</v>
      </c>
      <c r="H13" t="n">
        <v>1681</v>
      </c>
      <c r="I13" t="n">
        <v>738</v>
      </c>
      <c r="J13" t="n">
        <v>56.1</v>
      </c>
      <c r="K13" t="n">
        <v>43.9</v>
      </c>
      <c r="L13" t="n">
        <v>3.43</v>
      </c>
      <c r="M13" t="n">
        <v>25.46</v>
      </c>
    </row>
    <row r="14">
      <c r="A14" t="n">
        <v>13</v>
      </c>
      <c r="B14" t="inlineStr">
        <is>
          <t>SLC-SFO</t>
        </is>
      </c>
      <c r="C14" t="inlineStr">
        <is>
          <t>SLC</t>
        </is>
      </c>
      <c r="D14" t="inlineStr">
        <is>
          <t>SFO</t>
        </is>
      </c>
      <c r="E14" t="n">
        <v>1116</v>
      </c>
      <c r="F14" t="n">
        <v>10</v>
      </c>
      <c r="G14" t="n">
        <v>2</v>
      </c>
      <c r="H14" t="n">
        <v>1104</v>
      </c>
      <c r="I14" t="n">
        <v>477</v>
      </c>
      <c r="J14" t="n">
        <v>56.8</v>
      </c>
      <c r="K14" t="n">
        <v>43.2</v>
      </c>
      <c r="L14" t="n">
        <v>0.9</v>
      </c>
      <c r="M14" t="n">
        <v>22.65</v>
      </c>
    </row>
    <row r="15">
      <c r="A15" t="n">
        <v>14</v>
      </c>
      <c r="B15" t="inlineStr">
        <is>
          <t>DFW-SFO</t>
        </is>
      </c>
      <c r="C15" t="inlineStr">
        <is>
          <t>DFW</t>
        </is>
      </c>
      <c r="D15" t="inlineStr">
        <is>
          <t>SFO</t>
        </is>
      </c>
      <c r="E15" t="n">
        <v>1237</v>
      </c>
      <c r="F15" t="n">
        <v>15</v>
      </c>
      <c r="G15" t="n">
        <v>0</v>
      </c>
      <c r="H15" t="n">
        <v>1222</v>
      </c>
      <c r="I15" t="n">
        <v>519</v>
      </c>
      <c r="J15" t="n">
        <v>57.5</v>
      </c>
      <c r="K15" t="n">
        <v>42.5</v>
      </c>
      <c r="L15" t="n">
        <v>1.21</v>
      </c>
      <c r="M15" t="n">
        <v>22.28</v>
      </c>
    </row>
    <row r="16">
      <c r="A16" t="n">
        <v>15</v>
      </c>
      <c r="B16" t="inlineStr">
        <is>
          <t>SEA-SFO</t>
        </is>
      </c>
      <c r="C16" t="inlineStr">
        <is>
          <t>SEA</t>
        </is>
      </c>
      <c r="D16" t="inlineStr">
        <is>
          <t>SFO</t>
        </is>
      </c>
      <c r="E16" t="n">
        <v>1972</v>
      </c>
      <c r="F16" t="n">
        <v>38</v>
      </c>
      <c r="G16" t="n">
        <v>0</v>
      </c>
      <c r="H16" t="n">
        <v>1934</v>
      </c>
      <c r="I16" t="n">
        <v>818</v>
      </c>
      <c r="J16" t="n">
        <v>57.7</v>
      </c>
      <c r="K16" t="n">
        <v>42.3</v>
      </c>
      <c r="L16" t="n">
        <v>1.93</v>
      </c>
      <c r="M16" t="n">
        <v>23.45</v>
      </c>
    </row>
    <row r="17">
      <c r="A17" t="n">
        <v>16</v>
      </c>
      <c r="B17" t="inlineStr">
        <is>
          <t>SFO-LAS</t>
        </is>
      </c>
      <c r="C17" t="inlineStr">
        <is>
          <t>SFO</t>
        </is>
      </c>
      <c r="D17" t="inlineStr">
        <is>
          <t>LAS</t>
        </is>
      </c>
      <c r="E17" t="n">
        <v>1749</v>
      </c>
      <c r="F17" t="n">
        <v>69</v>
      </c>
      <c r="G17" t="n">
        <v>0</v>
      </c>
      <c r="H17" t="n">
        <v>1680</v>
      </c>
      <c r="I17" t="n">
        <v>654</v>
      </c>
      <c r="J17" t="n">
        <v>61.1</v>
      </c>
      <c r="K17" t="n">
        <v>38.9</v>
      </c>
      <c r="L17" t="n">
        <v>3.95</v>
      </c>
      <c r="M17" t="n">
        <v>26.12</v>
      </c>
    </row>
    <row r="18">
      <c r="A18" t="n">
        <v>17</v>
      </c>
      <c r="B18" t="inlineStr">
        <is>
          <t>MSP-SFO</t>
        </is>
      </c>
      <c r="C18" t="inlineStr">
        <is>
          <t>MSP</t>
        </is>
      </c>
      <c r="D18" t="inlineStr">
        <is>
          <t>SFO</t>
        </is>
      </c>
      <c r="E18" t="n">
        <v>548</v>
      </c>
      <c r="F18" t="n">
        <v>4</v>
      </c>
      <c r="G18" t="n">
        <v>3</v>
      </c>
      <c r="H18" t="n">
        <v>541</v>
      </c>
      <c r="I18" t="n">
        <v>210</v>
      </c>
      <c r="J18" t="n">
        <v>61.2</v>
      </c>
      <c r="K18" t="n">
        <v>38.8</v>
      </c>
      <c r="L18" t="n">
        <v>0.73</v>
      </c>
      <c r="M18" t="n">
        <v>12.13</v>
      </c>
    </row>
    <row r="19">
      <c r="A19" t="n">
        <v>18</v>
      </c>
      <c r="B19" t="inlineStr">
        <is>
          <t>EYW-CLT</t>
        </is>
      </c>
      <c r="C19" t="inlineStr">
        <is>
          <t>EYW</t>
        </is>
      </c>
      <c r="D19" t="inlineStr">
        <is>
          <t>CLT</t>
        </is>
      </c>
      <c r="E19" t="n">
        <v>592</v>
      </c>
      <c r="F19" t="n">
        <v>14</v>
      </c>
      <c r="G19" t="n">
        <v>0</v>
      </c>
      <c r="H19" t="n">
        <v>578</v>
      </c>
      <c r="I19" t="n">
        <v>217</v>
      </c>
      <c r="J19" t="n">
        <v>62.5</v>
      </c>
      <c r="K19" t="n">
        <v>37.5</v>
      </c>
      <c r="L19" t="n">
        <v>2.36</v>
      </c>
      <c r="M19" t="n">
        <v>27.51</v>
      </c>
    </row>
    <row r="20">
      <c r="A20" t="n">
        <v>19</v>
      </c>
      <c r="B20" t="inlineStr">
        <is>
          <t>AUS-SFO</t>
        </is>
      </c>
      <c r="C20" t="inlineStr">
        <is>
          <t>AUS</t>
        </is>
      </c>
      <c r="D20" t="inlineStr">
        <is>
          <t>SFO</t>
        </is>
      </c>
      <c r="E20" t="n">
        <v>619</v>
      </c>
      <c r="F20" t="n">
        <v>39</v>
      </c>
      <c r="G20" t="n">
        <v>0</v>
      </c>
      <c r="H20" t="n">
        <v>580</v>
      </c>
      <c r="I20" t="n">
        <v>210</v>
      </c>
      <c r="J20" t="n">
        <v>63.8</v>
      </c>
      <c r="K20" t="n">
        <v>36.2</v>
      </c>
      <c r="L20" t="n">
        <v>6.3</v>
      </c>
      <c r="M20" t="n">
        <v>22.04</v>
      </c>
    </row>
    <row r="21">
      <c r="A21" t="n">
        <v>20</v>
      </c>
      <c r="B21" t="inlineStr">
        <is>
          <t>PHL-SJU</t>
        </is>
      </c>
      <c r="C21" t="inlineStr">
        <is>
          <t>PHL</t>
        </is>
      </c>
      <c r="D21" t="inlineStr">
        <is>
          <t>SJU</t>
        </is>
      </c>
      <c r="E21" t="n">
        <v>525</v>
      </c>
      <c r="F21" t="n">
        <v>6</v>
      </c>
      <c r="G21" t="n">
        <v>1</v>
      </c>
      <c r="H21" t="n">
        <v>518</v>
      </c>
      <c r="I21" t="n">
        <v>187</v>
      </c>
      <c r="J21" t="n">
        <v>63.9</v>
      </c>
      <c r="K21" t="n">
        <v>36.1</v>
      </c>
      <c r="L21" t="n">
        <v>1.14</v>
      </c>
      <c r="M21" t="n">
        <v>18.77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7" customWidth="1" min="4" max="4"/>
    <col width="22" customWidth="1" min="5" max="5"/>
  </cols>
  <sheetData>
    <row r="1">
      <c r="A1" s="8" t="inlineStr">
        <is>
          <t>flight_month</t>
        </is>
      </c>
      <c r="B1" s="8" t="inlineStr">
        <is>
          <t>month_name</t>
        </is>
      </c>
      <c r="C1" s="8" t="inlineStr">
        <is>
          <t>cause</t>
        </is>
      </c>
      <c r="D1" s="8" t="inlineStr">
        <is>
          <t>delay_minutes</t>
        </is>
      </c>
      <c r="E1" s="8" t="inlineStr">
        <is>
          <t>share_of_month_pct</t>
        </is>
      </c>
    </row>
    <row r="2">
      <c r="A2" t="n">
        <v>1</v>
      </c>
      <c r="B2" t="inlineStr">
        <is>
          <t>Jan</t>
        </is>
      </c>
      <c r="C2" t="inlineStr">
        <is>
          <t>Carrier</t>
        </is>
      </c>
      <c r="D2" t="n">
        <v>3111412</v>
      </c>
      <c r="E2" t="n">
        <v>32.6</v>
      </c>
    </row>
    <row r="3">
      <c r="A3" t="n">
        <v>1</v>
      </c>
      <c r="B3" t="inlineStr">
        <is>
          <t>Jan</t>
        </is>
      </c>
      <c r="C3" t="inlineStr">
        <is>
          <t>Late Aircraft</t>
        </is>
      </c>
      <c r="D3" t="n">
        <v>3715582</v>
      </c>
      <c r="E3" t="n">
        <v>39</v>
      </c>
    </row>
    <row r="4">
      <c r="A4" t="n">
        <v>1</v>
      </c>
      <c r="B4" t="inlineStr">
        <is>
          <t>Jan</t>
        </is>
      </c>
      <c r="C4" t="inlineStr">
        <is>
          <t>National Air System</t>
        </is>
      </c>
      <c r="D4" t="n">
        <v>1709694</v>
      </c>
      <c r="E4" t="n">
        <v>17.9</v>
      </c>
    </row>
    <row r="5">
      <c r="A5" t="n">
        <v>1</v>
      </c>
      <c r="B5" t="inlineStr">
        <is>
          <t>Jan</t>
        </is>
      </c>
      <c r="C5" t="inlineStr">
        <is>
          <t>Security</t>
        </is>
      </c>
      <c r="D5" t="n">
        <v>22616</v>
      </c>
      <c r="E5" t="n">
        <v>0.2</v>
      </c>
    </row>
    <row r="6">
      <c r="A6" t="n">
        <v>1</v>
      </c>
      <c r="B6" t="inlineStr">
        <is>
          <t>Jan</t>
        </is>
      </c>
      <c r="C6" t="inlineStr">
        <is>
          <t>Weather</t>
        </is>
      </c>
      <c r="D6" t="n">
        <v>979360</v>
      </c>
      <c r="E6" t="n">
        <v>10.3</v>
      </c>
    </row>
    <row r="7">
      <c r="A7" t="n">
        <v>2</v>
      </c>
      <c r="B7" t="inlineStr">
        <is>
          <t>Feb</t>
        </is>
      </c>
      <c r="C7" t="inlineStr">
        <is>
          <t>Carrier</t>
        </is>
      </c>
      <c r="D7" t="n">
        <v>1885576</v>
      </c>
      <c r="E7" t="n">
        <v>35.9</v>
      </c>
    </row>
    <row r="8">
      <c r="A8" t="n">
        <v>2</v>
      </c>
      <c r="B8" t="inlineStr">
        <is>
          <t>Feb</t>
        </is>
      </c>
      <c r="C8" t="inlineStr">
        <is>
          <t>Late Aircraft</t>
        </is>
      </c>
      <c r="D8" t="n">
        <v>1938910</v>
      </c>
      <c r="E8" t="n">
        <v>36.9</v>
      </c>
    </row>
    <row r="9">
      <c r="A9" t="n">
        <v>2</v>
      </c>
      <c r="B9" t="inlineStr">
        <is>
          <t>Feb</t>
        </is>
      </c>
      <c r="C9" t="inlineStr">
        <is>
          <t>National Air System</t>
        </is>
      </c>
      <c r="D9" t="n">
        <v>1138361</v>
      </c>
      <c r="E9" t="n">
        <v>21.7</v>
      </c>
    </row>
    <row r="10">
      <c r="A10" t="n">
        <v>2</v>
      </c>
      <c r="B10" t="inlineStr">
        <is>
          <t>Feb</t>
        </is>
      </c>
      <c r="C10" t="inlineStr">
        <is>
          <t>Security</t>
        </is>
      </c>
      <c r="D10" t="n">
        <v>14103</v>
      </c>
      <c r="E10" t="n">
        <v>0.3</v>
      </c>
    </row>
    <row r="11">
      <c r="A11" t="n">
        <v>2</v>
      </c>
      <c r="B11" t="inlineStr">
        <is>
          <t>Feb</t>
        </is>
      </c>
      <c r="C11" t="inlineStr">
        <is>
          <t>Weather</t>
        </is>
      </c>
      <c r="D11" t="n">
        <v>280346</v>
      </c>
      <c r="E11" t="n">
        <v>5.3</v>
      </c>
    </row>
    <row r="12">
      <c r="A12" t="n">
        <v>3</v>
      </c>
      <c r="B12" t="inlineStr">
        <is>
          <t>Mar</t>
        </is>
      </c>
      <c r="C12" t="inlineStr">
        <is>
          <t>Carrier</t>
        </is>
      </c>
      <c r="D12" t="n">
        <v>2735376</v>
      </c>
      <c r="E12" t="n">
        <v>32.1</v>
      </c>
    </row>
    <row r="13">
      <c r="A13" t="n">
        <v>3</v>
      </c>
      <c r="B13" t="inlineStr">
        <is>
          <t>Mar</t>
        </is>
      </c>
      <c r="C13" t="inlineStr">
        <is>
          <t>Late Aircraft</t>
        </is>
      </c>
      <c r="D13" t="n">
        <v>3583293</v>
      </c>
      <c r="E13" t="n">
        <v>42.1</v>
      </c>
    </row>
    <row r="14">
      <c r="A14" t="n">
        <v>3</v>
      </c>
      <c r="B14" t="inlineStr">
        <is>
          <t>Mar</t>
        </is>
      </c>
      <c r="C14" t="inlineStr">
        <is>
          <t>National Air System</t>
        </is>
      </c>
      <c r="D14" t="n">
        <v>1823287</v>
      </c>
      <c r="E14" t="n">
        <v>21.4</v>
      </c>
    </row>
    <row r="15">
      <c r="A15" t="n">
        <v>3</v>
      </c>
      <c r="B15" t="inlineStr">
        <is>
          <t>Mar</t>
        </is>
      </c>
      <c r="C15" t="inlineStr">
        <is>
          <t>Security</t>
        </is>
      </c>
      <c r="D15" t="n">
        <v>17710</v>
      </c>
      <c r="E15" t="n">
        <v>0.2</v>
      </c>
    </row>
    <row r="16">
      <c r="A16" t="n">
        <v>3</v>
      </c>
      <c r="B16" t="inlineStr">
        <is>
          <t>Mar</t>
        </is>
      </c>
      <c r="C16" t="inlineStr">
        <is>
          <t>Weather</t>
        </is>
      </c>
      <c r="D16" t="n">
        <v>357961</v>
      </c>
      <c r="E16" t="n">
        <v>4.2</v>
      </c>
    </row>
    <row r="17">
      <c r="A17" t="n">
        <v>4</v>
      </c>
      <c r="B17" t="inlineStr">
        <is>
          <t>Apr</t>
        </is>
      </c>
      <c r="C17" t="inlineStr">
        <is>
          <t>Carrier</t>
        </is>
      </c>
      <c r="D17" t="n">
        <v>2537517</v>
      </c>
      <c r="E17" t="n">
        <v>33.6</v>
      </c>
    </row>
    <row r="18">
      <c r="A18" t="n">
        <v>4</v>
      </c>
      <c r="B18" t="inlineStr">
        <is>
          <t>Apr</t>
        </is>
      </c>
      <c r="C18" t="inlineStr">
        <is>
          <t>Late Aircraft</t>
        </is>
      </c>
      <c r="D18" t="n">
        <v>3102075</v>
      </c>
      <c r="E18" t="n">
        <v>41</v>
      </c>
    </row>
    <row r="19">
      <c r="A19" t="n">
        <v>4</v>
      </c>
      <c r="B19" t="inlineStr">
        <is>
          <t>Apr</t>
        </is>
      </c>
      <c r="C19" t="inlineStr">
        <is>
          <t>National Air System</t>
        </is>
      </c>
      <c r="D19" t="n">
        <v>1515097</v>
      </c>
      <c r="E19" t="n">
        <v>20</v>
      </c>
    </row>
    <row r="20">
      <c r="A20" t="n">
        <v>4</v>
      </c>
      <c r="B20" t="inlineStr">
        <is>
          <t>Apr</t>
        </is>
      </c>
      <c r="C20" t="inlineStr">
        <is>
          <t>Security</t>
        </is>
      </c>
      <c r="D20" t="n">
        <v>15524</v>
      </c>
      <c r="E20" t="n">
        <v>0.2</v>
      </c>
    </row>
    <row r="21">
      <c r="A21" t="n">
        <v>4</v>
      </c>
      <c r="B21" t="inlineStr">
        <is>
          <t>Apr</t>
        </is>
      </c>
      <c r="C21" t="inlineStr">
        <is>
          <t>Weather</t>
        </is>
      </c>
      <c r="D21" t="n">
        <v>388236</v>
      </c>
      <c r="E21" t="n">
        <v>5.1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7" customWidth="1" min="8" max="8"/>
    <col width="22" customWidth="1" min="9" max="9"/>
    <col width="19" customWidth="1" min="10" max="10"/>
    <col width="14" customWidth="1" min="11" max="11"/>
  </cols>
  <sheetData>
    <row r="1">
      <c r="A1" s="8" t="inlineStr">
        <is>
          <t>model</t>
        </is>
      </c>
      <c r="B1" s="8" t="inlineStr">
        <is>
          <t>auc_pr</t>
        </is>
      </c>
      <c r="C1" s="8" t="inlineStr">
        <is>
          <t>auc_roc</t>
        </is>
      </c>
      <c r="D1" s="8" t="inlineStr">
        <is>
          <t>precision</t>
        </is>
      </c>
      <c r="E1" s="8" t="inlineStr">
        <is>
          <t>recall</t>
        </is>
      </c>
      <c r="F1" s="8" t="inlineStr">
        <is>
          <t>f1_score</t>
        </is>
      </c>
      <c r="G1" s="8" t="inlineStr">
        <is>
          <t>accuracy</t>
        </is>
      </c>
      <c r="H1" s="8" t="inlineStr">
        <is>
          <t>predicted_positive_rate</t>
        </is>
      </c>
      <c r="I1" s="8" t="inlineStr">
        <is>
          <t>precision_at_10pct</t>
        </is>
      </c>
      <c r="J1" s="8" t="inlineStr">
        <is>
          <t>recall_at_10pct</t>
        </is>
      </c>
      <c r="K1" s="8" t="inlineStr">
        <is>
          <t>test_month</t>
        </is>
      </c>
    </row>
    <row r="2">
      <c r="A2" t="inlineStr">
        <is>
          <t>Historical rate rule (carrier+route)</t>
        </is>
      </c>
      <c r="B2" t="n">
        <v>0.2578</v>
      </c>
      <c r="C2" t="n">
        <v>0.5937</v>
      </c>
      <c r="D2" t="n">
        <v>0.2688</v>
      </c>
      <c r="E2" t="n">
        <v>0.2821</v>
      </c>
      <c r="F2" t="n">
        <v>0.2753</v>
      </c>
      <c r="G2" t="n">
        <v>0.7169</v>
      </c>
      <c r="H2" t="n">
        <v>0.2</v>
      </c>
      <c r="I2" t="n">
        <v>0.2992</v>
      </c>
      <c r="J2" t="n">
        <v>0.157</v>
      </c>
      <c r="K2" t="inlineStr">
        <is>
          <t>Apr 2024</t>
        </is>
      </c>
    </row>
    <row r="3">
      <c r="A3" t="inlineStr">
        <is>
          <t>Inbound-delay rule</t>
        </is>
      </c>
      <c r="B3" t="n">
        <v>0.3149</v>
      </c>
      <c r="C3" t="n">
        <v>0.6477000000000001</v>
      </c>
      <c r="D3" t="n">
        <v>0.3769</v>
      </c>
      <c r="E3" t="n">
        <v>0.3955</v>
      </c>
      <c r="F3" t="n">
        <v>0.386</v>
      </c>
      <c r="G3" t="n">
        <v>0.7602</v>
      </c>
      <c r="H3" t="n">
        <v>0.2</v>
      </c>
      <c r="I3" t="n">
        <v>0.4735</v>
      </c>
      <c r="J3" t="n">
        <v>0.2485</v>
      </c>
      <c r="K3" t="inlineStr">
        <is>
          <t>Apr 2024</t>
        </is>
      </c>
    </row>
    <row r="4">
      <c r="A4" t="inlineStr">
        <is>
          <t>Logistic regression</t>
        </is>
      </c>
      <c r="B4" t="n">
        <v>0.5104</v>
      </c>
      <c r="C4" t="n">
        <v>0.7642</v>
      </c>
      <c r="D4" t="n">
        <v>0.4839</v>
      </c>
      <c r="E4" t="n">
        <v>0.5078</v>
      </c>
      <c r="F4" t="n">
        <v>0.4956</v>
      </c>
      <c r="G4" t="n">
        <v>0.803</v>
      </c>
      <c r="H4" t="n">
        <v>0.2</v>
      </c>
      <c r="I4" t="n">
        <v>0.6474</v>
      </c>
      <c r="J4" t="n">
        <v>0.3397</v>
      </c>
      <c r="K4" t="inlineStr">
        <is>
          <t>Apr 2024</t>
        </is>
      </c>
    </row>
    <row r="5">
      <c r="A5" t="inlineStr">
        <is>
          <t>LightGBM</t>
        </is>
      </c>
      <c r="B5" t="n">
        <v>0.633</v>
      </c>
      <c r="C5" t="n">
        <v>0.8088</v>
      </c>
      <c r="D5" t="n">
        <v>0.5489000000000001</v>
      </c>
      <c r="E5" t="n">
        <v>0.576</v>
      </c>
      <c r="F5" t="n">
        <v>0.5621</v>
      </c>
      <c r="G5" t="n">
        <v>0.829</v>
      </c>
      <c r="H5" t="n">
        <v>0.2</v>
      </c>
      <c r="I5" t="n">
        <v>0.7647</v>
      </c>
      <c r="J5" t="n">
        <v>0.4013</v>
      </c>
      <c r="K5" t="inlineStr">
        <is>
          <t>Apr 2024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34" customWidth="1" min="4" max="4"/>
    <col width="15" customWidth="1" min="5" max="5"/>
  </cols>
  <sheetData>
    <row r="1">
      <c r="A1" s="8" t="inlineStr">
        <is>
          <t>carrier_name</t>
        </is>
      </c>
      <c r="B1" s="8" t="inlineStr">
        <is>
          <t>test_flights</t>
        </is>
      </c>
      <c r="C1" s="8" t="inlineStr">
        <is>
          <t>actual_delay_rate_pct</t>
        </is>
      </c>
      <c r="D1" s="8" t="inlineStr">
        <is>
          <t>mean_predicted_probability_pct</t>
        </is>
      </c>
      <c r="E1" s="8" t="inlineStr">
        <is>
          <t>flagged_pct</t>
        </is>
      </c>
    </row>
    <row r="2">
      <c r="A2" t="inlineStr">
        <is>
          <t>Frontier Airlines</t>
        </is>
      </c>
      <c r="B2" t="n">
        <v>16778</v>
      </c>
      <c r="C2" t="n">
        <v>29.7</v>
      </c>
      <c r="D2" t="n">
        <v>29.4</v>
      </c>
      <c r="E2" t="n">
        <v>32.9</v>
      </c>
    </row>
    <row r="3">
      <c r="A3" t="inlineStr">
        <is>
          <t>American Airlines</t>
        </is>
      </c>
      <c r="B3" t="n">
        <v>80212</v>
      </c>
      <c r="C3" t="n">
        <v>24.2</v>
      </c>
      <c r="D3" t="n">
        <v>25.7</v>
      </c>
      <c r="E3" t="n">
        <v>28.6</v>
      </c>
    </row>
    <row r="4">
      <c r="A4" t="inlineStr">
        <is>
          <t>JetBlue Airways</t>
        </is>
      </c>
      <c r="B4" t="n">
        <v>19762</v>
      </c>
      <c r="C4" t="n">
        <v>22.3</v>
      </c>
      <c r="D4" t="n">
        <v>25.3</v>
      </c>
      <c r="E4" t="n">
        <v>27.3</v>
      </c>
    </row>
    <row r="5">
      <c r="A5" t="inlineStr">
        <is>
          <t>PSA Airlines</t>
        </is>
      </c>
      <c r="B5" t="n">
        <v>18427</v>
      </c>
      <c r="C5" t="n">
        <v>21.8</v>
      </c>
      <c r="D5" t="n">
        <v>18.3</v>
      </c>
      <c r="E5" t="n">
        <v>17.8</v>
      </c>
    </row>
    <row r="6">
      <c r="A6" t="inlineStr">
        <is>
          <t>Alaska Airlines</t>
        </is>
      </c>
      <c r="B6" t="n">
        <v>19287</v>
      </c>
      <c r="C6" t="n">
        <v>20.7</v>
      </c>
      <c r="D6" t="n">
        <v>19.7</v>
      </c>
      <c r="E6" t="n">
        <v>18.9</v>
      </c>
    </row>
    <row r="7">
      <c r="A7" t="inlineStr">
        <is>
          <t>Southwest Airlines</t>
        </is>
      </c>
      <c r="B7" t="n">
        <v>119903</v>
      </c>
      <c r="C7" t="n">
        <v>19.7</v>
      </c>
      <c r="D7" t="n">
        <v>21.7</v>
      </c>
      <c r="E7" t="n">
        <v>24.2</v>
      </c>
    </row>
    <row r="8">
      <c r="A8" t="inlineStr">
        <is>
          <t>Envoy Air</t>
        </is>
      </c>
      <c r="B8" t="n">
        <v>22752</v>
      </c>
      <c r="C8" t="n">
        <v>19.2</v>
      </c>
      <c r="D8" t="n">
        <v>19.5</v>
      </c>
      <c r="E8" t="n">
        <v>19.8</v>
      </c>
    </row>
    <row r="9">
      <c r="A9" t="inlineStr">
        <is>
          <t>United Airlines</t>
        </is>
      </c>
      <c r="B9" t="n">
        <v>60539</v>
      </c>
      <c r="C9" t="n">
        <v>19.2</v>
      </c>
      <c r="D9" t="n">
        <v>19.3</v>
      </c>
      <c r="E9" t="n">
        <v>19.2</v>
      </c>
    </row>
    <row r="10">
      <c r="A10" t="inlineStr">
        <is>
          <t>Spirit Airlines</t>
        </is>
      </c>
      <c r="B10" t="n">
        <v>21723</v>
      </c>
      <c r="C10" t="n">
        <v>17.6</v>
      </c>
      <c r="D10" t="n">
        <v>22.2</v>
      </c>
      <c r="E10" t="n">
        <v>22.8</v>
      </c>
    </row>
    <row r="11">
      <c r="A11" t="inlineStr">
        <is>
          <t>SkyWest Airlines</t>
        </is>
      </c>
      <c r="B11" t="n">
        <v>59093</v>
      </c>
      <c r="C11" t="n">
        <v>16.3</v>
      </c>
      <c r="D11" t="n">
        <v>15.7</v>
      </c>
      <c r="E11" t="n">
        <v>14.6</v>
      </c>
    </row>
    <row r="12">
      <c r="A12" t="inlineStr">
        <is>
          <t>Delta Air Lines</t>
        </is>
      </c>
      <c r="B12" t="n">
        <v>82569</v>
      </c>
      <c r="C12" t="n">
        <v>15.6</v>
      </c>
      <c r="D12" t="n">
        <v>15.9</v>
      </c>
      <c r="E12" t="n">
        <v>13.2</v>
      </c>
    </row>
    <row r="13">
      <c r="A13" t="inlineStr">
        <is>
          <t>Hawaiian Airlines</t>
        </is>
      </c>
      <c r="B13" t="n">
        <v>6285</v>
      </c>
      <c r="C13" t="n">
        <v>14.7</v>
      </c>
      <c r="D13" t="n">
        <v>13.3</v>
      </c>
      <c r="E13" t="n">
        <v>9.199999999999999</v>
      </c>
    </row>
    <row r="14">
      <c r="A14" t="inlineStr">
        <is>
          <t>Allegiant Air</t>
        </is>
      </c>
      <c r="B14" t="n">
        <v>9215</v>
      </c>
      <c r="C14" t="n">
        <v>13.7</v>
      </c>
      <c r="D14" t="n">
        <v>18</v>
      </c>
      <c r="E14" t="n">
        <v>14.1</v>
      </c>
    </row>
    <row r="15">
      <c r="A15" t="inlineStr">
        <is>
          <t>Endeavor Air</t>
        </is>
      </c>
      <c r="B15" t="n">
        <v>16778</v>
      </c>
      <c r="C15" t="n">
        <v>12.6</v>
      </c>
      <c r="D15" t="n">
        <v>11.8</v>
      </c>
      <c r="E15" t="n">
        <v>9.300000000000001</v>
      </c>
    </row>
    <row r="16">
      <c r="A16" t="inlineStr">
        <is>
          <t>Republic Airways</t>
        </is>
      </c>
      <c r="B16" t="n">
        <v>23592</v>
      </c>
      <c r="C16" t="n">
        <v>12.1</v>
      </c>
      <c r="D16" t="n">
        <v>9.300000000000001</v>
      </c>
      <c r="E16" t="n">
        <v>6.5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8" t="inlineStr">
        <is>
          <t>feature</t>
        </is>
      </c>
      <c r="B1" s="8" t="inlineStr">
        <is>
          <t>mean_abs_shap</t>
        </is>
      </c>
    </row>
    <row r="2">
      <c r="A2" t="inlineStr">
        <is>
          <t>projected turn slack (min)</t>
        </is>
      </c>
      <c r="B2" t="n">
        <v>0.3518</v>
      </c>
    </row>
    <row r="3">
      <c r="A3" t="inlineStr">
        <is>
          <t>inbound leg departure delay (if departed by cutoff)</t>
        </is>
      </c>
      <c r="B3" t="n">
        <v>0.1747</v>
      </c>
    </row>
    <row r="4">
      <c r="A4" t="inlineStr">
        <is>
          <t>destination avg arrival delay, 2 h before cutoff</t>
        </is>
      </c>
      <c r="B4" t="n">
        <v>0.14029</v>
      </c>
    </row>
    <row r="5">
      <c r="A5" t="inlineStr">
        <is>
          <t>carrier+route delay-rate lift (prev. month)</t>
        </is>
      </c>
      <c r="B5" t="n">
        <v>0.1384</v>
      </c>
    </row>
    <row r="6">
      <c r="A6" t="inlineStr">
        <is>
          <t>scheduled turn after inbound leg (min)</t>
        </is>
      </c>
      <c r="B6" t="n">
        <v>0.1037</v>
      </c>
    </row>
    <row r="7">
      <c r="A7" t="inlineStr">
        <is>
          <t>destination arrivals scheduled that hour</t>
        </is>
      </c>
      <c r="B7" t="n">
        <v>0.10319</v>
      </c>
    </row>
    <row r="8">
      <c r="A8" t="inlineStr">
        <is>
          <t>distance</t>
        </is>
      </c>
      <c r="B8" t="n">
        <v>0.10261</v>
      </c>
    </row>
    <row r="9">
      <c r="A9" t="inlineStr">
        <is>
          <t>aircraft's latest known departure delay</t>
        </is>
      </c>
      <c r="B9" t="n">
        <v>0.09999</v>
      </c>
    </row>
    <row r="10">
      <c r="A10" t="inlineStr">
        <is>
          <t>origin temperature at cutoff (C)</t>
        </is>
      </c>
      <c r="B10" t="n">
        <v>0.09848999999999999</v>
      </c>
    </row>
    <row r="11">
      <c r="A11" t="inlineStr">
        <is>
          <t>destination precipitation at sched. arrival (mm/h)</t>
        </is>
      </c>
      <c r="B11" t="n">
        <v>0.09722</v>
      </c>
    </row>
    <row r="12">
      <c r="A12" t="inlineStr">
        <is>
          <t>carrier</t>
        </is>
      </c>
      <c r="B12" t="n">
        <v>0.09716</v>
      </c>
    </row>
    <row r="13">
      <c r="A13" t="inlineStr">
        <is>
          <t>share of origin flights overdue</t>
        </is>
      </c>
      <c r="B13" t="n">
        <v>0.08451</v>
      </c>
    </row>
    <row r="14">
      <c r="A14" t="inlineStr">
        <is>
          <t>origin departures scheduled that hour</t>
        </is>
      </c>
      <c r="B14" t="n">
        <v>0.08062999999999999</v>
      </c>
    </row>
    <row r="15">
      <c r="A15" t="inlineStr">
        <is>
          <t>carrier network avg departure delay, 2 h before cutoff</t>
        </is>
      </c>
      <c r="B15" t="n">
        <v>0.07804</v>
      </c>
    </row>
    <row r="16">
      <c r="A16" t="inlineStr">
        <is>
          <t>destination low cloud at sched. arrival (%)</t>
        </is>
      </c>
      <c r="B16" t="n">
        <v>0.07307</v>
      </c>
    </row>
    <row r="17">
      <c r="A17" t="inlineStr">
        <is>
          <t>origin avg departure delay, 2 h before cutoff</t>
        </is>
      </c>
      <c r="B17" t="n">
        <v>0.07164</v>
      </c>
    </row>
    <row r="18">
      <c r="A18" t="inlineStr">
        <is>
          <t>origin precipitation, 3 h to cutoff (mm)</t>
        </is>
      </c>
      <c r="B18" t="n">
        <v>0.06619</v>
      </c>
    </row>
    <row r="19">
      <c r="A19" t="inlineStr">
        <is>
          <t>origin+hour delay-rate lift (prev. month)</t>
        </is>
      </c>
      <c r="B19" t="n">
        <v>0.06219</v>
      </c>
    </row>
    <row r="20">
      <c r="A20" t="inlineStr">
        <is>
          <t>origin flights overdue, not yet departed</t>
        </is>
      </c>
      <c r="B20" t="n">
        <v>0.05998</v>
      </c>
    </row>
    <row r="21">
      <c r="A21" t="inlineStr">
        <is>
          <t>destination temperature at sched. arrival (C)</t>
        </is>
      </c>
      <c r="B21" t="n">
        <v>0.05985</v>
      </c>
    </row>
    <row r="22">
      <c r="A22" t="inlineStr">
        <is>
          <t>inbound leg overdue, not yet departed (min)</t>
        </is>
      </c>
      <c r="B22" t="n">
        <v>0.05849</v>
      </c>
    </row>
    <row r="23">
      <c r="A23" t="inlineStr">
        <is>
          <t>scheduled block time</t>
        </is>
      </c>
      <c r="B23" t="n">
        <v>0.05807</v>
      </c>
    </row>
    <row r="24">
      <c r="A24" t="inlineStr">
        <is>
          <t>scheduled departure time</t>
        </is>
      </c>
      <c r="B24" t="n">
        <v>0.05444</v>
      </c>
    </row>
    <row r="25">
      <c r="A25" t="inlineStr">
        <is>
          <t>carrier+hour delay-rate lift (prev. month)</t>
        </is>
      </c>
      <c r="B25" t="n">
        <v>0.05421</v>
      </c>
    </row>
    <row r="26">
      <c r="A26" t="inlineStr">
        <is>
          <t>day of week</t>
        </is>
      </c>
      <c r="B26" t="n">
        <v>0.05384</v>
      </c>
    </row>
    <row r="27">
      <c r="A27" t="inlineStr">
        <is>
          <t>origin low cloud at cutoff (%)</t>
        </is>
      </c>
      <c r="B27" t="n">
        <v>0.05117</v>
      </c>
    </row>
    <row r="28">
      <c r="A28" t="inlineStr">
        <is>
          <t>destination avg departure delay, 2 h before cutoff</t>
        </is>
      </c>
      <c r="B28" t="n">
        <v>0.04183</v>
      </c>
    </row>
    <row r="29">
      <c r="A29" t="inlineStr">
        <is>
          <t>destination gusts at sched. arrival (km/h)</t>
        </is>
      </c>
      <c r="B29" t="n">
        <v>0.03958</v>
      </c>
    </row>
    <row r="30">
      <c r="A30" t="inlineStr">
        <is>
          <t>route's delay-rate lift (prev. month)</t>
        </is>
      </c>
      <c r="B30" t="n">
        <v>0.03919</v>
      </c>
    </row>
    <row r="31">
      <c r="A31" t="inlineStr">
        <is>
          <t>origin's delay-rate lift (prev. month)</t>
        </is>
      </c>
      <c r="B31" t="n">
        <v>0.0389</v>
      </c>
    </row>
    <row r="32">
      <c r="A32" t="inlineStr">
        <is>
          <t>destination's delay-rate lift (prev. month)</t>
        </is>
      </c>
      <c r="B32" t="n">
        <v>0.03541</v>
      </c>
    </row>
    <row r="33">
      <c r="A33" t="inlineStr">
        <is>
          <t>scheduled arrival hour</t>
        </is>
      </c>
      <c r="B33" t="n">
        <v>0.03388</v>
      </c>
    </row>
    <row r="34">
      <c r="A34" t="inlineStr">
        <is>
          <t>US network avg departure delay, 2 h before cutoff</t>
        </is>
      </c>
      <c r="B34" t="n">
        <v>0.03376</v>
      </c>
    </row>
    <row r="35">
      <c r="A35" t="inlineStr">
        <is>
          <t>origin departures scheduled that day</t>
        </is>
      </c>
      <c r="B35" t="n">
        <v>0.03112</v>
      </c>
    </row>
    <row r="36">
      <c r="A36" t="inlineStr">
        <is>
          <t>origin avg arrival delay, 2 h before cutoff</t>
        </is>
      </c>
      <c r="B36" t="n">
        <v>0.02671</v>
      </c>
    </row>
    <row r="37">
      <c r="A37" t="inlineStr">
        <is>
          <t>inbound aircraft known delay at cutoff (min)</t>
        </is>
      </c>
      <c r="B37" t="n">
        <v>0.02516</v>
      </c>
    </row>
    <row r="38">
      <c r="A38" t="inlineStr">
        <is>
          <t>aircraft's latest known arrival delay</t>
        </is>
      </c>
      <c r="B38" t="n">
        <v>0.02511</v>
      </c>
    </row>
    <row r="39">
      <c r="A39" t="inlineStr">
        <is>
          <t>origin precipitation at cutoff (mm/h)</t>
        </is>
      </c>
      <c r="B39" t="n">
        <v>0.02253</v>
      </c>
    </row>
    <row r="40">
      <c r="A40" t="inlineStr">
        <is>
          <t>origin wind at cutoff (km/h)</t>
        </is>
      </c>
      <c r="B40" t="n">
        <v>0.02053</v>
      </c>
    </row>
    <row r="41">
      <c r="A41" t="inlineStr">
        <is>
          <t>origin gusts at cutoff (km/h)</t>
        </is>
      </c>
      <c r="B41" t="n">
        <v>0.01947</v>
      </c>
    </row>
    <row r="42">
      <c r="A42" t="inlineStr">
        <is>
          <t>destination wind at sched. arrival (km/h)</t>
        </is>
      </c>
      <c r="B42" t="n">
        <v>0.01834</v>
      </c>
    </row>
    <row r="43">
      <c r="A43" t="inlineStr">
        <is>
          <t>origin departures in 2 h before cutoff</t>
        </is>
      </c>
      <c r="B43" t="n">
        <v>0.01703</v>
      </c>
    </row>
    <row r="44">
      <c r="A44" t="inlineStr">
        <is>
          <t>carrier's delay-rate lift (prev. month)</t>
        </is>
      </c>
      <c r="B44" t="n">
        <v>0.01681</v>
      </c>
    </row>
    <row r="45">
      <c r="A45" t="inlineStr">
        <is>
          <t>scheduled departure hour</t>
        </is>
      </c>
      <c r="B45" t="n">
        <v>0.01637</v>
      </c>
    </row>
    <row r="46">
      <c r="A46" t="inlineStr">
        <is>
          <t>flight's typical aircraft leg of day (prev. month)</t>
        </is>
      </c>
      <c r="B46" t="n">
        <v>0.01538</v>
      </c>
    </row>
    <row r="47">
      <c r="A47" t="inlineStr">
        <is>
          <t>origin snowfall at cutoff (cm/h)</t>
        </is>
      </c>
      <c r="B47" t="n">
        <v>0.0132</v>
      </c>
    </row>
    <row r="48">
      <c r="A48" t="inlineStr">
        <is>
          <t>inbound leg arrival delay (if arrived by cutoff)</t>
        </is>
      </c>
      <c r="B48" t="n">
        <v>0.01297</v>
      </c>
    </row>
    <row r="49">
      <c r="A49" t="inlineStr">
        <is>
          <t>flight's typical scheduled turnaround (prev. month, min)</t>
        </is>
      </c>
      <c r="B49" t="n">
        <v>0.01164</v>
      </c>
    </row>
    <row r="50">
      <c r="A50" t="inlineStr">
        <is>
          <t>inbound leg departed by cutoff</t>
        </is>
      </c>
      <c r="B50" t="n">
        <v>0.00467</v>
      </c>
    </row>
    <row r="51">
      <c r="A51" t="inlineStr">
        <is>
          <t>inbound leg scheduled to have left by cutoff</t>
        </is>
      </c>
      <c r="B51" t="n">
        <v>0.00352</v>
      </c>
    </row>
    <row r="52">
      <c r="A52" t="inlineStr">
        <is>
          <t>inbound leg arrived by cutoff</t>
        </is>
      </c>
      <c r="B52" t="n">
        <v>0.00314</v>
      </c>
    </row>
    <row r="53">
      <c r="A53" t="inlineStr">
        <is>
          <t>destination snowfall at sched. arrival (cm/h)</t>
        </is>
      </c>
      <c r="B53" t="n">
        <v>0.00154</v>
      </c>
    </row>
    <row r="54">
      <c r="A54" t="inlineStr">
        <is>
          <t>aircraft has an earlier leg today</t>
        </is>
      </c>
      <c r="B54" t="n">
        <v>2e-05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8" t="inlineStr">
        <is>
          <t>actual</t>
        </is>
      </c>
      <c r="B1" s="8" t="inlineStr">
        <is>
          <t>predicted</t>
        </is>
      </c>
      <c r="C1" s="8" t="inlineStr">
        <is>
          <t>flights</t>
        </is>
      </c>
    </row>
    <row r="2">
      <c r="A2" t="inlineStr">
        <is>
          <t>On time</t>
        </is>
      </c>
      <c r="B2" t="inlineStr">
        <is>
          <t>On time</t>
        </is>
      </c>
      <c r="C2" t="n">
        <v>414914</v>
      </c>
    </row>
    <row r="3">
      <c r="A3" t="inlineStr">
        <is>
          <t>On time</t>
        </is>
      </c>
      <c r="B3" t="inlineStr">
        <is>
          <t>Delayed</t>
        </is>
      </c>
      <c r="C3" t="n">
        <v>52053</v>
      </c>
    </row>
    <row r="4">
      <c r="A4" t="inlineStr">
        <is>
          <t>Delayed</t>
        </is>
      </c>
      <c r="B4" t="inlineStr">
        <is>
          <t>On time</t>
        </is>
      </c>
      <c r="C4" t="n">
        <v>46618</v>
      </c>
    </row>
    <row r="5">
      <c r="A5" t="inlineStr">
        <is>
          <t>Delayed</t>
        </is>
      </c>
      <c r="B5" t="inlineStr">
        <is>
          <t>Delayed</t>
        </is>
      </c>
      <c r="C5" t="n">
        <v>63330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22" customWidth="1" min="6" max="6"/>
    <col width="19" customWidth="1" min="7" max="7"/>
  </cols>
  <sheetData>
    <row r="1">
      <c r="A1" s="8" t="inlineStr">
        <is>
          <t>feature_set</t>
        </is>
      </c>
      <c r="B1" s="8" t="inlineStr">
        <is>
          <t>auc_roc</t>
        </is>
      </c>
      <c r="C1" s="8" t="inlineStr">
        <is>
          <t>auc_pr</t>
        </is>
      </c>
      <c r="D1" s="8" t="inlineStr">
        <is>
          <t>precision</t>
        </is>
      </c>
      <c r="E1" s="8" t="inlineStr">
        <is>
          <t>recall</t>
        </is>
      </c>
      <c r="F1" s="8" t="inlineStr">
        <is>
          <t>precision_at_10pct</t>
        </is>
      </c>
      <c r="G1" s="8" t="inlineStr">
        <is>
          <t>recall_at_10pct</t>
        </is>
      </c>
    </row>
    <row r="2">
      <c r="A2" t="inlineStr">
        <is>
          <t>Weeks ahead (schedule + history)</t>
        </is>
      </c>
      <c r="B2" t="n">
        <v>0.6492</v>
      </c>
      <c r="C2" t="n">
        <v>0.2929</v>
      </c>
      <c r="D2" t="n">
        <v>0.3205</v>
      </c>
      <c r="E2" t="n">
        <v>0.3363</v>
      </c>
      <c r="F2" t="n">
        <v>0.352</v>
      </c>
      <c r="G2" t="n">
        <v>0.1847</v>
      </c>
    </row>
    <row r="3">
      <c r="A3" t="inlineStr">
        <is>
          <t>2 hours before departure</t>
        </is>
      </c>
      <c r="B3" t="n">
        <v>0.8088</v>
      </c>
      <c r="C3" t="n">
        <v>0.633</v>
      </c>
      <c r="D3" t="n">
        <v>0.5489000000000001</v>
      </c>
      <c r="E3" t="n">
        <v>0.576</v>
      </c>
      <c r="F3" t="n">
        <v>0.7647</v>
      </c>
      <c r="G3" t="n">
        <v>0.4013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21" customWidth="1" min="9" max="9"/>
    <col width="21" customWidth="1" min="10" max="10"/>
    <col width="27" customWidth="1" min="11" max="11"/>
    <col width="15" customWidth="1" min="12" max="12"/>
  </cols>
  <sheetData>
    <row r="1">
      <c r="A1" s="2" t="inlineStr">
        <is>
          <t>Top 500 of 115,383 flights the model predicted as delayed in the Apr 2024 test month, predicted 2 hours before scheduled departure (riskiest 20%, sorted by probability). Full list: outputs/predicted_delays_test_month.csv</t>
        </is>
      </c>
    </row>
    <row r="3">
      <c r="A3" s="8" t="inlineStr">
        <is>
          <t>flight_key</t>
        </is>
      </c>
      <c r="B3" s="8" t="inlineStr">
        <is>
          <t>flight_date</t>
        </is>
      </c>
      <c r="C3" s="8" t="inlineStr">
        <is>
          <t>carrier_code</t>
        </is>
      </c>
      <c r="D3" s="8" t="inlineStr">
        <is>
          <t>origin</t>
        </is>
      </c>
      <c r="E3" s="8" t="inlineStr">
        <is>
          <t>dest</t>
        </is>
      </c>
      <c r="F3" s="8" t="inlineStr">
        <is>
          <t>route</t>
        </is>
      </c>
      <c r="G3" s="8" t="inlineStr">
        <is>
          <t>dep_hour</t>
        </is>
      </c>
      <c r="H3" s="8" t="inlineStr">
        <is>
          <t>actual_delayed</t>
        </is>
      </c>
      <c r="I3" s="8" t="inlineStr">
        <is>
          <t>delay_probability</t>
        </is>
      </c>
      <c r="J3" s="8" t="inlineStr">
        <is>
          <t>predicted_delayed</t>
        </is>
      </c>
      <c r="K3" s="8" t="inlineStr">
        <is>
          <t>inbound_known_delay_min</t>
        </is>
      </c>
      <c r="L3" s="8" t="inlineStr">
        <is>
          <t>top_reasons</t>
        </is>
      </c>
    </row>
    <row r="4">
      <c r="A4" t="inlineStr">
        <is>
          <t>f6ef3d774464bf4dc2a4d737fd3caadc</t>
        </is>
      </c>
      <c r="B4" t="inlineStr">
        <is>
          <t>2024-04-11</t>
        </is>
      </c>
      <c r="C4" t="inlineStr">
        <is>
          <t>AS</t>
        </is>
      </c>
      <c r="D4" t="inlineStr">
        <is>
          <t>FLL</t>
        </is>
      </c>
      <c r="E4" t="inlineStr">
        <is>
          <t>SAN</t>
        </is>
      </c>
      <c r="F4" t="inlineStr">
        <is>
          <t>FLL-SAN</t>
        </is>
      </c>
      <c r="G4" t="n">
        <v>17</v>
      </c>
      <c r="H4" t="n">
        <v>1</v>
      </c>
      <c r="I4" t="n">
        <v>0.99888</v>
      </c>
      <c r="J4" t="n">
        <v>1</v>
      </c>
      <c r="K4" t="n">
        <v>118</v>
      </c>
      <c r="L4" t="inlineStr">
        <is>
          <t>projected turn slack (min)=-49 (+3.62); aircraft's latest known departure delay=118 (+0.81); inbound leg departure delay (if departed by cutoff)=118 (+0.69)</t>
        </is>
      </c>
    </row>
    <row r="5">
      <c r="A5" t="inlineStr">
        <is>
          <t>26a4c24d0af3c033c30ee90eb9075d17</t>
        </is>
      </c>
      <c r="B5" t="inlineStr">
        <is>
          <t>2024-04-26</t>
        </is>
      </c>
      <c r="C5" t="inlineStr">
        <is>
          <t>WN</t>
        </is>
      </c>
      <c r="D5" t="inlineStr">
        <is>
          <t>DAL</t>
        </is>
      </c>
      <c r="E5" t="inlineStr">
        <is>
          <t>LAS</t>
        </is>
      </c>
      <c r="F5" t="inlineStr">
        <is>
          <t>DAL-LAS</t>
        </is>
      </c>
      <c r="G5" t="n">
        <v>20</v>
      </c>
      <c r="H5" t="n">
        <v>1</v>
      </c>
      <c r="I5" t="n">
        <v>0.99883</v>
      </c>
      <c r="J5" t="n">
        <v>1</v>
      </c>
      <c r="K5" t="n">
        <v>100</v>
      </c>
      <c r="L5" t="inlineStr">
        <is>
          <t>projected turn slack (min)=-65 (+3.36); aircraft's latest known departure delay=100 (+0.88); inbound leg departure delay (if departed by cutoff)=100 (+0.81)</t>
        </is>
      </c>
    </row>
    <row r="6">
      <c r="A6" t="inlineStr">
        <is>
          <t>8f085df8709fa7947d99fc48d3e2d653</t>
        </is>
      </c>
      <c r="B6" t="inlineStr">
        <is>
          <t>2024-04-11</t>
        </is>
      </c>
      <c r="C6" t="inlineStr">
        <is>
          <t>UA</t>
        </is>
      </c>
      <c r="D6" t="inlineStr">
        <is>
          <t>FLL</t>
        </is>
      </c>
      <c r="E6" t="inlineStr">
        <is>
          <t>SFO</t>
        </is>
      </c>
      <c r="F6" t="inlineStr">
        <is>
          <t>FLL-SFO</t>
        </is>
      </c>
      <c r="G6" t="n">
        <v>18</v>
      </c>
      <c r="H6" t="n">
        <v>1</v>
      </c>
      <c r="I6" t="n">
        <v>0.99871</v>
      </c>
      <c r="J6" t="n">
        <v>1</v>
      </c>
      <c r="K6" t="n">
        <v>143</v>
      </c>
      <c r="L6" t="inlineStr">
        <is>
          <t>projected turn slack (min)=-81 (+3.46); aircraft's latest known departure delay=143 (+0.79); inbound leg departure delay (if departed by cutoff)=143 (+0.62)</t>
        </is>
      </c>
    </row>
    <row r="7">
      <c r="A7" t="inlineStr">
        <is>
          <t>69c93b8089259db96ff126573827bee2</t>
        </is>
      </c>
      <c r="B7" t="inlineStr">
        <is>
          <t>2024-04-11</t>
        </is>
      </c>
      <c r="C7" t="inlineStr">
        <is>
          <t>DL</t>
        </is>
      </c>
      <c r="D7" t="inlineStr">
        <is>
          <t>TPA</t>
        </is>
      </c>
      <c r="E7" t="inlineStr">
        <is>
          <t>MSP</t>
        </is>
      </c>
      <c r="F7" t="inlineStr">
        <is>
          <t>TPA-MSP</t>
        </is>
      </c>
      <c r="G7" t="n">
        <v>18</v>
      </c>
      <c r="H7" t="n">
        <v>1</v>
      </c>
      <c r="I7" t="n">
        <v>0.99864</v>
      </c>
      <c r="J7" t="n">
        <v>1</v>
      </c>
      <c r="K7" t="n">
        <v>133</v>
      </c>
      <c r="L7" t="inlineStr">
        <is>
          <t>projected turn slack (min)=-66 (+3.51); aircraft's latest known departure delay=133 (+0.84); inbound leg departure delay (if departed by cutoff)=133 (+0.78)</t>
        </is>
      </c>
    </row>
    <row r="8">
      <c r="A8" t="inlineStr">
        <is>
          <t>c944ee6ba9b901337ebc811bcae1cbb2</t>
        </is>
      </c>
      <c r="B8" t="inlineStr">
        <is>
          <t>2024-04-03</t>
        </is>
      </c>
      <c r="C8" t="inlineStr">
        <is>
          <t>B6</t>
        </is>
      </c>
      <c r="D8" t="inlineStr">
        <is>
          <t>AUS</t>
        </is>
      </c>
      <c r="E8" t="inlineStr">
        <is>
          <t>FLL</t>
        </is>
      </c>
      <c r="F8" t="inlineStr">
        <is>
          <t>AUS-FLL</t>
        </is>
      </c>
      <c r="G8" t="n">
        <v>15</v>
      </c>
      <c r="H8" t="n">
        <v>1</v>
      </c>
      <c r="I8" t="n">
        <v>0.99858</v>
      </c>
      <c r="J8" t="n">
        <v>1</v>
      </c>
      <c r="K8" t="n">
        <v>105</v>
      </c>
      <c r="L8" t="inlineStr">
        <is>
          <t>projected turn slack (min)=-60 (+3.61); aircraft's latest known departure delay=105 (+0.80); inbound leg departure delay (if departed by cutoff)=105 (+0.73)</t>
        </is>
      </c>
    </row>
    <row r="9">
      <c r="A9" t="inlineStr">
        <is>
          <t>fc0732bb49c9214433e69762df0314c6</t>
        </is>
      </c>
      <c r="B9" t="inlineStr">
        <is>
          <t>2024-04-11</t>
        </is>
      </c>
      <c r="C9" t="inlineStr">
        <is>
          <t>AS</t>
        </is>
      </c>
      <c r="D9" t="inlineStr">
        <is>
          <t>MCO</t>
        </is>
      </c>
      <c r="E9" t="inlineStr">
        <is>
          <t>SFO</t>
        </is>
      </c>
      <c r="F9" t="inlineStr">
        <is>
          <t>MCO-SFO</t>
        </is>
      </c>
      <c r="G9" t="n">
        <v>18</v>
      </c>
      <c r="H9" t="n">
        <v>1</v>
      </c>
      <c r="I9" t="n">
        <v>0.99851</v>
      </c>
      <c r="J9" t="n">
        <v>1</v>
      </c>
      <c r="K9" t="n">
        <v>146</v>
      </c>
      <c r="L9" t="inlineStr">
        <is>
          <t>projected turn slack (min)=-81 (+3.30); aircraft's latest known departure delay=146 (+0.77); inbound leg departure delay (if departed by cutoff)=146 (+0.69)</t>
        </is>
      </c>
    </row>
    <row r="10">
      <c r="A10" t="inlineStr">
        <is>
          <t>3c0f0f8c04267bec35df65a21c14faff</t>
        </is>
      </c>
      <c r="B10" t="inlineStr">
        <is>
          <t>2024-04-03</t>
        </is>
      </c>
      <c r="C10" t="inlineStr">
        <is>
          <t>DL</t>
        </is>
      </c>
      <c r="D10" t="inlineStr">
        <is>
          <t>MCO</t>
        </is>
      </c>
      <c r="E10" t="inlineStr">
        <is>
          <t>SLC</t>
        </is>
      </c>
      <c r="F10" t="inlineStr">
        <is>
          <t>MCO-SLC</t>
        </is>
      </c>
      <c r="G10" t="n">
        <v>18</v>
      </c>
      <c r="H10" t="n">
        <v>1</v>
      </c>
      <c r="I10" t="n">
        <v>0.99848</v>
      </c>
      <c r="J10" t="n">
        <v>1</v>
      </c>
      <c r="K10" t="n">
        <v>139</v>
      </c>
      <c r="L10" t="inlineStr">
        <is>
          <t>projected turn slack (min)=-66 (+3.60); inbound leg departure delay (if departed by cutoff)=139 (+0.77); aircraft's latest known departure delay=139 (+0.68)</t>
        </is>
      </c>
    </row>
    <row r="11">
      <c r="A11" t="inlineStr">
        <is>
          <t>6283ac66082b0ad880843b22671c5c19</t>
        </is>
      </c>
      <c r="B11" t="inlineStr">
        <is>
          <t>2024-04-03</t>
        </is>
      </c>
      <c r="C11" t="inlineStr">
        <is>
          <t>AS</t>
        </is>
      </c>
      <c r="D11" t="inlineStr">
        <is>
          <t>MCO</t>
        </is>
      </c>
      <c r="E11" t="inlineStr">
        <is>
          <t>SFO</t>
        </is>
      </c>
      <c r="F11" t="inlineStr">
        <is>
          <t>MCO-SFO</t>
        </is>
      </c>
      <c r="G11" t="n">
        <v>18</v>
      </c>
      <c r="H11" t="n">
        <v>1</v>
      </c>
      <c r="I11" t="n">
        <v>0.99846</v>
      </c>
      <c r="J11" t="n">
        <v>1</v>
      </c>
      <c r="K11" t="n">
        <v>253</v>
      </c>
      <c r="L11" t="inlineStr">
        <is>
          <t>projected turn slack (min)=-188 (+3.00); aircraft's latest known departure delay=253 (+0.78); inbound leg departure delay (if departed by cutoff)=253 (+0.64)</t>
        </is>
      </c>
    </row>
    <row r="12">
      <c r="A12" t="inlineStr">
        <is>
          <t>bf8a5d8afcee2887a755176c5b707687</t>
        </is>
      </c>
      <c r="B12" t="inlineStr">
        <is>
          <t>2024-04-03</t>
        </is>
      </c>
      <c r="C12" t="inlineStr">
        <is>
          <t>WN</t>
        </is>
      </c>
      <c r="D12" t="inlineStr">
        <is>
          <t>MIA</t>
        </is>
      </c>
      <c r="E12" t="inlineStr">
        <is>
          <t>BWI</t>
        </is>
      </c>
      <c r="F12" t="inlineStr">
        <is>
          <t>MIA-BWI</t>
        </is>
      </c>
      <c r="G12" t="n">
        <v>21</v>
      </c>
      <c r="H12" t="n">
        <v>1</v>
      </c>
      <c r="I12" t="n">
        <v>0.99846</v>
      </c>
      <c r="J12" t="n">
        <v>1</v>
      </c>
      <c r="K12" t="n">
        <v>96</v>
      </c>
      <c r="L12" t="inlineStr">
        <is>
          <t>projected turn slack (min)=-51 (+3.49); aircraft's latest known departure delay=96 (+0.95); inbound leg departure delay (if departed by cutoff)=96 (+0.79)</t>
        </is>
      </c>
    </row>
    <row r="13">
      <c r="A13" t="inlineStr">
        <is>
          <t>497fcbdddbeee3789b5eb34b17f76ded</t>
        </is>
      </c>
      <c r="B13" t="inlineStr">
        <is>
          <t>2024-04-26</t>
        </is>
      </c>
      <c r="C13" t="inlineStr">
        <is>
          <t>WN</t>
        </is>
      </c>
      <c r="D13" t="inlineStr">
        <is>
          <t>DAL</t>
        </is>
      </c>
      <c r="E13" t="inlineStr">
        <is>
          <t>CHS</t>
        </is>
      </c>
      <c r="F13" t="inlineStr">
        <is>
          <t>DAL-CHS</t>
        </is>
      </c>
      <c r="G13" t="n">
        <v>19</v>
      </c>
      <c r="H13" t="n">
        <v>1</v>
      </c>
      <c r="I13" t="n">
        <v>0.99843</v>
      </c>
      <c r="J13" t="n">
        <v>1</v>
      </c>
      <c r="K13" t="n">
        <v>150</v>
      </c>
      <c r="L13" t="inlineStr">
        <is>
          <t>projected turn slack (min)=-80 (+3.65); aircraft's latest known departure delay=150 (+0.91); inbound leg departure delay (if departed by cutoff)=150 (+0.78)</t>
        </is>
      </c>
    </row>
    <row r="14">
      <c r="A14" t="inlineStr">
        <is>
          <t>1cf6c4df4e8c96b50691ef4366bbdd2a</t>
        </is>
      </c>
      <c r="B14" t="inlineStr">
        <is>
          <t>2024-04-12</t>
        </is>
      </c>
      <c r="C14" t="inlineStr">
        <is>
          <t>AS</t>
        </is>
      </c>
      <c r="D14" t="inlineStr">
        <is>
          <t>SEA</t>
        </is>
      </c>
      <c r="E14" t="inlineStr">
        <is>
          <t>SFO</t>
        </is>
      </c>
      <c r="F14" t="inlineStr">
        <is>
          <t>SEA-SFO</t>
        </is>
      </c>
      <c r="G14" t="n">
        <v>20</v>
      </c>
      <c r="H14" t="n">
        <v>1</v>
      </c>
      <c r="I14" t="n">
        <v>0.99842</v>
      </c>
      <c r="J14" t="n">
        <v>1</v>
      </c>
      <c r="K14" t="n">
        <v>95</v>
      </c>
      <c r="L14" t="inlineStr">
        <is>
          <t>projected turn slack (min)=-35 (+3.45); aircraft's latest known departure delay=95 (+0.93); inbound leg departure delay (if departed by cutoff)=95 (+0.69)</t>
        </is>
      </c>
    </row>
    <row r="15">
      <c r="A15" t="inlineStr">
        <is>
          <t>64360cbe71635a79ba75e766224abfc2</t>
        </is>
      </c>
      <c r="B15" t="inlineStr">
        <is>
          <t>2024-04-11</t>
        </is>
      </c>
      <c r="C15" t="inlineStr">
        <is>
          <t>WN</t>
        </is>
      </c>
      <c r="D15" t="inlineStr">
        <is>
          <t>FLL</t>
        </is>
      </c>
      <c r="E15" t="inlineStr">
        <is>
          <t>DAL</t>
        </is>
      </c>
      <c r="F15" t="inlineStr">
        <is>
          <t>FLL-DAL</t>
        </is>
      </c>
      <c r="G15" t="n">
        <v>19</v>
      </c>
      <c r="H15" t="n">
        <v>1</v>
      </c>
      <c r="I15" t="n">
        <v>0.99835</v>
      </c>
      <c r="J15" t="n">
        <v>1</v>
      </c>
      <c r="K15" t="n">
        <v>95</v>
      </c>
      <c r="L15" t="inlineStr">
        <is>
          <t>projected turn slack (min)=-35 (+3.55); aircraft's latest known departure delay=95 (+0.85); inbound leg departure delay (if departed by cutoff)=95 (+0.73)</t>
        </is>
      </c>
    </row>
    <row r="16">
      <c r="A16" t="inlineStr">
        <is>
          <t>cb7c22aa0d8822806d72c429d8ed75d0</t>
        </is>
      </c>
      <c r="B16" t="inlineStr">
        <is>
          <t>2024-04-11</t>
        </is>
      </c>
      <c r="C16" t="inlineStr">
        <is>
          <t>WN</t>
        </is>
      </c>
      <c r="D16" t="inlineStr">
        <is>
          <t>MCO</t>
        </is>
      </c>
      <c r="E16" t="inlineStr">
        <is>
          <t>ORD</t>
        </is>
      </c>
      <c r="F16" t="inlineStr">
        <is>
          <t>MCO-ORD</t>
        </is>
      </c>
      <c r="G16" t="n">
        <v>14</v>
      </c>
      <c r="H16" t="n">
        <v>1</v>
      </c>
      <c r="I16" t="n">
        <v>0.99835</v>
      </c>
      <c r="J16" t="n">
        <v>1</v>
      </c>
      <c r="K16" t="n">
        <v>136</v>
      </c>
      <c r="L16" t="inlineStr">
        <is>
          <t>projected turn slack (min)=-76 (+3.62); inbound leg departure delay (if departed by cutoff)=136 (+0.82); aircraft's latest known departure delay=136 (+0.80)</t>
        </is>
      </c>
    </row>
    <row r="17">
      <c r="A17" t="inlineStr">
        <is>
          <t>ef1b007e6498655beba85ecaa94b7b6f</t>
        </is>
      </c>
      <c r="B17" t="inlineStr">
        <is>
          <t>2024-04-18</t>
        </is>
      </c>
      <c r="C17" t="inlineStr">
        <is>
          <t>WN</t>
        </is>
      </c>
      <c r="D17" t="inlineStr">
        <is>
          <t>STL</t>
        </is>
      </c>
      <c r="E17" t="inlineStr">
        <is>
          <t>DAL</t>
        </is>
      </c>
      <c r="F17" t="inlineStr">
        <is>
          <t>STL-DAL</t>
        </is>
      </c>
      <c r="G17" t="n">
        <v>21</v>
      </c>
      <c r="H17" t="n">
        <v>1</v>
      </c>
      <c r="I17" t="n">
        <v>0.99834</v>
      </c>
      <c r="J17" t="n">
        <v>1</v>
      </c>
      <c r="K17" t="n">
        <v>105</v>
      </c>
      <c r="L17" t="inlineStr">
        <is>
          <t>projected turn slack (min)=-55 (+3.41); aircraft's latest known departure delay=105 (+0.97); inbound leg departure delay (if departed by cutoff)=105 (+0.73)</t>
        </is>
      </c>
    </row>
    <row r="18">
      <c r="A18" t="inlineStr">
        <is>
          <t>e2fb417f0560d407948cf87b7127d184</t>
        </is>
      </c>
      <c r="B18" t="inlineStr">
        <is>
          <t>2024-04-11</t>
        </is>
      </c>
      <c r="C18" t="inlineStr">
        <is>
          <t>AS</t>
        </is>
      </c>
      <c r="D18" t="inlineStr">
        <is>
          <t>MCO</t>
        </is>
      </c>
      <c r="E18" t="inlineStr">
        <is>
          <t>SAN</t>
        </is>
      </c>
      <c r="F18" t="inlineStr">
        <is>
          <t>MCO-SAN</t>
        </is>
      </c>
      <c r="G18" t="n">
        <v>16</v>
      </c>
      <c r="H18" t="n">
        <v>1</v>
      </c>
      <c r="I18" t="n">
        <v>0.99832</v>
      </c>
      <c r="J18" t="n">
        <v>1</v>
      </c>
      <c r="K18" t="n">
        <v>139</v>
      </c>
      <c r="L18" t="inlineStr">
        <is>
          <t>projected turn slack (min)=-79 (+3.38); aircraft's latest known departure delay=139 (+0.78); inbound leg departure delay (if departed by cutoff)=139 (+0.73)</t>
        </is>
      </c>
    </row>
    <row r="19">
      <c r="A19" t="inlineStr">
        <is>
          <t>f952cc335c4f09188e817c93f2e24143</t>
        </is>
      </c>
      <c r="B19" t="inlineStr">
        <is>
          <t>2024-04-04</t>
        </is>
      </c>
      <c r="C19" t="inlineStr">
        <is>
          <t>F9</t>
        </is>
      </c>
      <c r="D19" t="inlineStr">
        <is>
          <t>SFO</t>
        </is>
      </c>
      <c r="E19" t="inlineStr">
        <is>
          <t>LAS</t>
        </is>
      </c>
      <c r="F19" t="inlineStr">
        <is>
          <t>SFO-LAS</t>
        </is>
      </c>
      <c r="G19" t="n">
        <v>19</v>
      </c>
      <c r="H19" t="n">
        <v>1</v>
      </c>
      <c r="I19" t="n">
        <v>0.9983</v>
      </c>
      <c r="J19" t="n">
        <v>1</v>
      </c>
      <c r="K19" t="n">
        <v>126</v>
      </c>
      <c r="L19" t="inlineStr">
        <is>
          <t>projected turn slack (min)=-76 (+3.21); aircraft's latest known departure delay=126 (+0.87); inbound leg departure delay (if departed by cutoff)=126 (+0.63)</t>
        </is>
      </c>
    </row>
    <row r="20">
      <c r="A20" t="inlineStr">
        <is>
          <t>2b4d31ea12021b02fae9cab441be84d0</t>
        </is>
      </c>
      <c r="B20" t="inlineStr">
        <is>
          <t>2024-04-11</t>
        </is>
      </c>
      <c r="C20" t="inlineStr">
        <is>
          <t>B6</t>
        </is>
      </c>
      <c r="D20" t="inlineStr">
        <is>
          <t>JFK</t>
        </is>
      </c>
      <c r="E20" t="inlineStr">
        <is>
          <t>FLL</t>
        </is>
      </c>
      <c r="F20" t="inlineStr">
        <is>
          <t>JFK-FLL</t>
        </is>
      </c>
      <c r="G20" t="n">
        <v>21</v>
      </c>
      <c r="H20" t="n">
        <v>1</v>
      </c>
      <c r="I20" t="n">
        <v>0.99829</v>
      </c>
      <c r="J20" t="n">
        <v>1</v>
      </c>
      <c r="K20" t="n">
        <v>104</v>
      </c>
      <c r="L20" t="inlineStr">
        <is>
          <t>projected turn slack (min)=-48 (+3.61); aircraft's latest known departure delay=104 (+0.81); inbound leg departure delay (if departed by cutoff)=104 (+0.70)</t>
        </is>
      </c>
    </row>
    <row r="21">
      <c r="A21" t="inlineStr">
        <is>
          <t>cb2b143ac1c4e635160f4d0032c1e33f</t>
        </is>
      </c>
      <c r="B21" t="inlineStr">
        <is>
          <t>2024-04-05</t>
        </is>
      </c>
      <c r="C21" t="inlineStr">
        <is>
          <t>F9</t>
        </is>
      </c>
      <c r="D21" t="inlineStr">
        <is>
          <t>PHX</t>
        </is>
      </c>
      <c r="E21" t="inlineStr">
        <is>
          <t>SFO</t>
        </is>
      </c>
      <c r="F21" t="inlineStr">
        <is>
          <t>PHX-SFO</t>
        </is>
      </c>
      <c r="G21" t="n">
        <v>13</v>
      </c>
      <c r="H21" t="n">
        <v>1</v>
      </c>
      <c r="I21" t="n">
        <v>0.99829</v>
      </c>
      <c r="J21" t="n">
        <v>1</v>
      </c>
      <c r="K21" t="n">
        <v>168</v>
      </c>
      <c r="L21" t="inlineStr">
        <is>
          <t>projected turn slack (min)=-103 (+3.16); aircraft's latest known departure delay=168 (+0.99); inbound leg departure delay (if departed by cutoff)=168 (+0.58)</t>
        </is>
      </c>
    </row>
    <row r="22">
      <c r="A22" t="inlineStr">
        <is>
          <t>64755ae4f7479c87da682894613846b9</t>
        </is>
      </c>
      <c r="B22" t="inlineStr">
        <is>
          <t>2024-04-11</t>
        </is>
      </c>
      <c r="C22" t="inlineStr">
        <is>
          <t>WN</t>
        </is>
      </c>
      <c r="D22" t="inlineStr">
        <is>
          <t>FLL</t>
        </is>
      </c>
      <c r="E22" t="inlineStr">
        <is>
          <t>DCA</t>
        </is>
      </c>
      <c r="F22" t="inlineStr">
        <is>
          <t>FLL-DCA</t>
        </is>
      </c>
      <c r="G22" t="n">
        <v>19</v>
      </c>
      <c r="H22" t="n">
        <v>1</v>
      </c>
      <c r="I22" t="n">
        <v>0.99827</v>
      </c>
      <c r="J22" t="n">
        <v>1</v>
      </c>
      <c r="K22" t="n">
        <v>81</v>
      </c>
      <c r="L22" t="inlineStr">
        <is>
          <t>projected turn slack (min)=-41 (+3.32); aircraft's latest known departure delay=81 (+0.83); inbound leg departure delay (if departed by cutoff)=81 (+0.71)</t>
        </is>
      </c>
    </row>
    <row r="23">
      <c r="A23" t="inlineStr">
        <is>
          <t>0860a7ca37e82a4922a164b3d94667f0</t>
        </is>
      </c>
      <c r="B23" t="inlineStr">
        <is>
          <t>2024-04-11</t>
        </is>
      </c>
      <c r="C23" t="inlineStr">
        <is>
          <t>NK</t>
        </is>
      </c>
      <c r="D23" t="inlineStr">
        <is>
          <t>TPA</t>
        </is>
      </c>
      <c r="E23" t="inlineStr">
        <is>
          <t>CLT</t>
        </is>
      </c>
      <c r="F23" t="inlineStr">
        <is>
          <t>TPA-CLT</t>
        </is>
      </c>
      <c r="G23" t="n">
        <v>17</v>
      </c>
      <c r="H23" t="n">
        <v>1</v>
      </c>
      <c r="I23" t="n">
        <v>0.99826</v>
      </c>
      <c r="J23" t="n">
        <v>1</v>
      </c>
      <c r="K23" t="n">
        <v>121</v>
      </c>
      <c r="L23" t="inlineStr">
        <is>
          <t>projected turn slack (min)=-71 (+3.13); aircraft's latest known departure delay=121 (+0.82); inbound leg departure delay (if departed by cutoff)=121 (+0.71)</t>
        </is>
      </c>
    </row>
    <row r="24">
      <c r="A24" t="inlineStr">
        <is>
          <t>a2f20d310ced916415914179a8aab9be</t>
        </is>
      </c>
      <c r="B24" t="inlineStr">
        <is>
          <t>2024-04-11</t>
        </is>
      </c>
      <c r="C24" t="inlineStr">
        <is>
          <t>WN</t>
        </is>
      </c>
      <c r="D24" t="inlineStr">
        <is>
          <t>FLL</t>
        </is>
      </c>
      <c r="E24" t="inlineStr">
        <is>
          <t>BWI</t>
        </is>
      </c>
      <c r="F24" t="inlineStr">
        <is>
          <t>FLL-BWI</t>
        </is>
      </c>
      <c r="G24" t="n">
        <v>17</v>
      </c>
      <c r="H24" t="n">
        <v>1</v>
      </c>
      <c r="I24" t="n">
        <v>0.99824</v>
      </c>
      <c r="J24" t="n">
        <v>1</v>
      </c>
      <c r="K24" t="n">
        <v>83</v>
      </c>
      <c r="L24" t="inlineStr">
        <is>
          <t>projected turn slack (min)=-38 (+3.31); aircraft's latest known departure delay=83 (+0.68); inbound leg departure delay (if departed by cutoff)=83 (+0.67)</t>
        </is>
      </c>
    </row>
    <row r="25">
      <c r="A25" t="inlineStr">
        <is>
          <t>2e5fcfeca75d315cd1ab9d0a211af236</t>
        </is>
      </c>
      <c r="B25" t="inlineStr">
        <is>
          <t>2024-04-15</t>
        </is>
      </c>
      <c r="C25" t="inlineStr">
        <is>
          <t>WN</t>
        </is>
      </c>
      <c r="D25" t="inlineStr">
        <is>
          <t>SAN</t>
        </is>
      </c>
      <c r="E25" t="inlineStr">
        <is>
          <t>SFO</t>
        </is>
      </c>
      <c r="F25" t="inlineStr">
        <is>
          <t>SAN-SFO</t>
        </is>
      </c>
      <c r="G25" t="n">
        <v>17</v>
      </c>
      <c r="H25" t="n">
        <v>1</v>
      </c>
      <c r="I25" t="n">
        <v>0.99823</v>
      </c>
      <c r="J25" t="n">
        <v>1</v>
      </c>
      <c r="K25" t="n">
        <v>114</v>
      </c>
      <c r="L25" t="inlineStr">
        <is>
          <t>projected turn slack (min)=-74 (+3.53); aircraft's latest known departure delay=114 (+0.94); inbound leg departure delay (if departed by cutoff)=114 (+0.75)</t>
        </is>
      </c>
    </row>
    <row r="26">
      <c r="A26" t="inlineStr">
        <is>
          <t>5d86a2881b74bbdec84367a4939dc018</t>
        </is>
      </c>
      <c r="B26" t="inlineStr">
        <is>
          <t>2024-04-03</t>
        </is>
      </c>
      <c r="C26" t="inlineStr">
        <is>
          <t>AA</t>
        </is>
      </c>
      <c r="D26" t="inlineStr">
        <is>
          <t>MCO</t>
        </is>
      </c>
      <c r="E26" t="inlineStr">
        <is>
          <t>DFW</t>
        </is>
      </c>
      <c r="F26" t="inlineStr">
        <is>
          <t>MCO-DFW</t>
        </is>
      </c>
      <c r="G26" t="n">
        <v>17</v>
      </c>
      <c r="H26" t="n">
        <v>1</v>
      </c>
      <c r="I26" t="n">
        <v>0.9982</v>
      </c>
      <c r="J26" t="n">
        <v>1</v>
      </c>
      <c r="K26" t="n">
        <v>162</v>
      </c>
      <c r="L26" t="inlineStr">
        <is>
          <t>projected turn slack (min)=-125 (+3.00); aircraft's latest known departure delay=162 (+0.84); inbound leg departure delay (if departed by cutoff)=162 (+0.70)</t>
        </is>
      </c>
    </row>
    <row r="27">
      <c r="A27" t="inlineStr">
        <is>
          <t>d4e8d270ef30fff023739a4f3472d66b</t>
        </is>
      </c>
      <c r="B27" t="inlineStr">
        <is>
          <t>2024-04-03</t>
        </is>
      </c>
      <c r="C27" t="inlineStr">
        <is>
          <t>UA</t>
        </is>
      </c>
      <c r="D27" t="inlineStr">
        <is>
          <t>ORD</t>
        </is>
      </c>
      <c r="E27" t="inlineStr">
        <is>
          <t>FLL</t>
        </is>
      </c>
      <c r="F27" t="inlineStr">
        <is>
          <t>ORD-FLL</t>
        </is>
      </c>
      <c r="G27" t="n">
        <v>19</v>
      </c>
      <c r="H27" t="n">
        <v>1</v>
      </c>
      <c r="I27" t="n">
        <v>0.9982</v>
      </c>
      <c r="J27" t="n">
        <v>1</v>
      </c>
      <c r="K27" t="n">
        <v>141</v>
      </c>
      <c r="L27" t="inlineStr">
        <is>
          <t>projected turn slack (min)=-74 (+3.18); aircraft's latest known departure delay=141 (+0.62); inbound leg departure delay (if departed by cutoff)=141 (+0.58)</t>
        </is>
      </c>
    </row>
    <row r="28">
      <c r="A28" t="inlineStr">
        <is>
          <t>ad2d4055b4a1ac9a5986f0478bab3e37</t>
        </is>
      </c>
      <c r="B28" t="inlineStr">
        <is>
          <t>2024-04-11</t>
        </is>
      </c>
      <c r="C28" t="inlineStr">
        <is>
          <t>AA</t>
        </is>
      </c>
      <c r="D28" t="inlineStr">
        <is>
          <t>MIA</t>
        </is>
      </c>
      <c r="E28" t="inlineStr">
        <is>
          <t>ORD</t>
        </is>
      </c>
      <c r="F28" t="inlineStr">
        <is>
          <t>MIA-ORD</t>
        </is>
      </c>
      <c r="G28" t="n">
        <v>15</v>
      </c>
      <c r="H28" t="n">
        <v>1</v>
      </c>
      <c r="I28" t="n">
        <v>0.99819</v>
      </c>
      <c r="J28" t="n">
        <v>1</v>
      </c>
      <c r="K28" t="n">
        <v>98</v>
      </c>
      <c r="L28" t="inlineStr">
        <is>
          <t>projected turn slack (min)=-35 (+3.71); aircraft's latest known departure delay=98 (+0.86); inbound leg departure delay (if departed by cutoff)=98 (+0.76)</t>
        </is>
      </c>
    </row>
    <row r="29">
      <c r="A29" t="inlineStr">
        <is>
          <t>483bab8465ede01bb9b5433d815b2c02</t>
        </is>
      </c>
      <c r="B29" t="inlineStr">
        <is>
          <t>2024-04-11</t>
        </is>
      </c>
      <c r="C29" t="inlineStr">
        <is>
          <t>B6</t>
        </is>
      </c>
      <c r="D29" t="inlineStr">
        <is>
          <t>TPA</t>
        </is>
      </c>
      <c r="E29" t="inlineStr">
        <is>
          <t>BDL</t>
        </is>
      </c>
      <c r="F29" t="inlineStr">
        <is>
          <t>TPA-BDL</t>
        </is>
      </c>
      <c r="G29" t="n">
        <v>16</v>
      </c>
      <c r="H29" t="n">
        <v>1</v>
      </c>
      <c r="I29" t="n">
        <v>0.99815</v>
      </c>
      <c r="J29" t="n">
        <v>1</v>
      </c>
      <c r="K29" t="n">
        <v>112</v>
      </c>
      <c r="L29" t="inlineStr">
        <is>
          <t>projected turn slack (min)=-57 (+3.48); aircraft's latest known departure delay=112 (+0.78); inbound leg departure delay (if departed by cutoff)=112 (+0.70)</t>
        </is>
      </c>
    </row>
    <row r="30">
      <c r="A30" t="inlineStr">
        <is>
          <t>0d7d675a8bc06413868226e0dd396ee5</t>
        </is>
      </c>
      <c r="B30" t="inlineStr">
        <is>
          <t>2024-04-18</t>
        </is>
      </c>
      <c r="C30" t="inlineStr">
        <is>
          <t>AS</t>
        </is>
      </c>
      <c r="D30" t="inlineStr">
        <is>
          <t>MCO</t>
        </is>
      </c>
      <c r="E30" t="inlineStr">
        <is>
          <t>SFO</t>
        </is>
      </c>
      <c r="F30" t="inlineStr">
        <is>
          <t>MCO-SFO</t>
        </is>
      </c>
      <c r="G30" t="n">
        <v>18</v>
      </c>
      <c r="H30" t="n">
        <v>1</v>
      </c>
      <c r="I30" t="n">
        <v>0.99814</v>
      </c>
      <c r="J30" t="n">
        <v>1</v>
      </c>
      <c r="K30" t="n">
        <v>122</v>
      </c>
      <c r="L30" t="inlineStr">
        <is>
          <t>projected turn slack (min)=-62 (+3.75); aircraft's latest known departure delay=122 (+0.88); inbound leg departure delay (if departed by cutoff)=122 (+0.75)</t>
        </is>
      </c>
    </row>
    <row r="31">
      <c r="A31" t="inlineStr">
        <is>
          <t>b118703ea7a069232fc96a5dd61880b6</t>
        </is>
      </c>
      <c r="B31" t="inlineStr">
        <is>
          <t>2024-04-11</t>
        </is>
      </c>
      <c r="C31" t="inlineStr">
        <is>
          <t>DL</t>
        </is>
      </c>
      <c r="D31" t="inlineStr">
        <is>
          <t>FLL</t>
        </is>
      </c>
      <c r="E31" t="inlineStr">
        <is>
          <t>LGA</t>
        </is>
      </c>
      <c r="F31" t="inlineStr">
        <is>
          <t>FLL-LGA</t>
        </is>
      </c>
      <c r="G31" t="n">
        <v>18</v>
      </c>
      <c r="H31" t="n">
        <v>1</v>
      </c>
      <c r="I31" t="n">
        <v>0.99814</v>
      </c>
      <c r="J31" t="n">
        <v>1</v>
      </c>
      <c r="K31" t="n">
        <v>107</v>
      </c>
      <c r="L31" t="inlineStr">
        <is>
          <t>projected turn slack (min)=-42 (+3.42); aircraft's latest known departure delay=107 (+0.86); inbound leg departure delay (if departed by cutoff)=107 (+0.70)</t>
        </is>
      </c>
    </row>
    <row r="32">
      <c r="A32" t="inlineStr">
        <is>
          <t>d6fd7bf00cfdeb36d1c8c99a2ad927bb</t>
        </is>
      </c>
      <c r="B32" t="inlineStr">
        <is>
          <t>2024-04-11</t>
        </is>
      </c>
      <c r="C32" t="inlineStr">
        <is>
          <t>DL</t>
        </is>
      </c>
      <c r="D32" t="inlineStr">
        <is>
          <t>FLL</t>
        </is>
      </c>
      <c r="E32" t="inlineStr">
        <is>
          <t>BOS</t>
        </is>
      </c>
      <c r="F32" t="inlineStr">
        <is>
          <t>FLL-BOS</t>
        </is>
      </c>
      <c r="G32" t="n">
        <v>16</v>
      </c>
      <c r="H32" t="n">
        <v>1</v>
      </c>
      <c r="I32" t="n">
        <v>0.99813</v>
      </c>
      <c r="J32" t="n">
        <v>1</v>
      </c>
      <c r="K32" t="n">
        <v>107</v>
      </c>
      <c r="L32" t="inlineStr">
        <is>
          <t>projected turn slack (min)=-41 (+3.60); aircraft's latest known departure delay=107 (+0.82); inbound leg departure delay (if departed by cutoff)=107 (+0.74)</t>
        </is>
      </c>
    </row>
    <row r="33">
      <c r="A33" t="inlineStr">
        <is>
          <t>8b7083baa342a270bd32dde69a756b05</t>
        </is>
      </c>
      <c r="B33" t="inlineStr">
        <is>
          <t>2024-04-11</t>
        </is>
      </c>
      <c r="C33" t="inlineStr">
        <is>
          <t>DL</t>
        </is>
      </c>
      <c r="D33" t="inlineStr">
        <is>
          <t>TPA</t>
        </is>
      </c>
      <c r="E33" t="inlineStr">
        <is>
          <t>LAX</t>
        </is>
      </c>
      <c r="F33" t="inlineStr">
        <is>
          <t>TPA-LAX</t>
        </is>
      </c>
      <c r="G33" t="n">
        <v>19</v>
      </c>
      <c r="H33" t="n">
        <v>1</v>
      </c>
      <c r="I33" t="n">
        <v>0.9981100000000001</v>
      </c>
      <c r="J33" t="n">
        <v>1</v>
      </c>
      <c r="K33" t="n">
        <v>108</v>
      </c>
      <c r="L33" t="inlineStr">
        <is>
          <t>projected turn slack (min)=-38 (+3.56); aircraft's latest known departure delay=108 (+0.84); inbound leg departure delay (if departed by cutoff)=108 (+0.71)</t>
        </is>
      </c>
    </row>
    <row r="34">
      <c r="A34" t="inlineStr">
        <is>
          <t>954ae8f9d5a5fd9d410492a65de80e0c</t>
        </is>
      </c>
      <c r="B34" t="inlineStr">
        <is>
          <t>2024-04-03</t>
        </is>
      </c>
      <c r="C34" t="inlineStr">
        <is>
          <t>F9</t>
        </is>
      </c>
      <c r="D34" t="inlineStr">
        <is>
          <t>TPA</t>
        </is>
      </c>
      <c r="E34" t="inlineStr">
        <is>
          <t>BWI</t>
        </is>
      </c>
      <c r="F34" t="inlineStr">
        <is>
          <t>TPA-BWI</t>
        </is>
      </c>
      <c r="G34" t="n">
        <v>17</v>
      </c>
      <c r="H34" t="n">
        <v>1</v>
      </c>
      <c r="I34" t="n">
        <v>0.99809</v>
      </c>
      <c r="J34" t="n">
        <v>1</v>
      </c>
      <c r="K34" t="n">
        <v>135</v>
      </c>
      <c r="L34" t="inlineStr">
        <is>
          <t>projected turn slack (min)=-61 (+3.26); aircraft's latest known departure delay=135 (+0.69); origin precipitation at cutoff (mm/h)=11.6 (+0.61)</t>
        </is>
      </c>
    </row>
    <row r="35">
      <c r="A35" t="inlineStr">
        <is>
          <t>8e032f83ac265eedd782117432d02024</t>
        </is>
      </c>
      <c r="B35" t="inlineStr">
        <is>
          <t>2024-04-11</t>
        </is>
      </c>
      <c r="C35" t="inlineStr">
        <is>
          <t>F9</t>
        </is>
      </c>
      <c r="D35" t="inlineStr">
        <is>
          <t>DFW</t>
        </is>
      </c>
      <c r="E35" t="inlineStr">
        <is>
          <t>TPA</t>
        </is>
      </c>
      <c r="F35" t="inlineStr">
        <is>
          <t>DFW-TPA</t>
        </is>
      </c>
      <c r="G35" t="n">
        <v>14</v>
      </c>
      <c r="H35" t="n">
        <v>1</v>
      </c>
      <c r="I35" t="n">
        <v>0.99808</v>
      </c>
      <c r="J35" t="n">
        <v>1</v>
      </c>
      <c r="K35" t="n">
        <v>103</v>
      </c>
      <c r="L35" t="inlineStr">
        <is>
          <t>projected turn slack (min)=-48 (+3.54); aircraft's latest known departure delay=103 (+0.87); inbound leg departure delay (if departed by cutoff)=103 (+0.67)</t>
        </is>
      </c>
    </row>
    <row r="36">
      <c r="A36" t="inlineStr">
        <is>
          <t>a374a30eed3f5029031ecd87cb820582</t>
        </is>
      </c>
      <c r="B36" t="inlineStr">
        <is>
          <t>2024-04-03</t>
        </is>
      </c>
      <c r="C36" t="inlineStr">
        <is>
          <t>B6</t>
        </is>
      </c>
      <c r="D36" t="inlineStr">
        <is>
          <t>FLL</t>
        </is>
      </c>
      <c r="E36" t="inlineStr">
        <is>
          <t>SFO</t>
        </is>
      </c>
      <c r="F36" t="inlineStr">
        <is>
          <t>FLL-SFO</t>
        </is>
      </c>
      <c r="G36" t="n">
        <v>19</v>
      </c>
      <c r="H36" t="n">
        <v>1</v>
      </c>
      <c r="I36" t="n">
        <v>0.99808</v>
      </c>
      <c r="J36" t="n">
        <v>1</v>
      </c>
      <c r="K36" t="n">
        <v>161</v>
      </c>
      <c r="L36" t="inlineStr">
        <is>
          <t>projected turn slack (min)=-91 (+3.16); aircraft's latest known departure delay=161 (+0.78); inbound leg departure delay (if departed by cutoff)=161 (+0.67)</t>
        </is>
      </c>
    </row>
    <row r="37">
      <c r="A37" t="inlineStr">
        <is>
          <t>d46ac3e93008ea33fc2b25a5aaa0dcf0</t>
        </is>
      </c>
      <c r="B37" t="inlineStr">
        <is>
          <t>2024-04-03</t>
        </is>
      </c>
      <c r="C37" t="inlineStr">
        <is>
          <t>DL</t>
        </is>
      </c>
      <c r="D37" t="inlineStr">
        <is>
          <t>FLL</t>
        </is>
      </c>
      <c r="E37" t="inlineStr">
        <is>
          <t>RDU</t>
        </is>
      </c>
      <c r="F37" t="inlineStr">
        <is>
          <t>FLL-RDU</t>
        </is>
      </c>
      <c r="G37" t="n">
        <v>15</v>
      </c>
      <c r="H37" t="n">
        <v>1</v>
      </c>
      <c r="I37" t="n">
        <v>0.9980599999999999</v>
      </c>
      <c r="J37" t="n">
        <v>1</v>
      </c>
      <c r="K37" t="n">
        <v>59</v>
      </c>
      <c r="L37" t="inlineStr">
        <is>
          <t>projected turn slack (min)=-4 (+2.09); aircraft's latest known departure delay=342 (+0.84); inbound leg overdue, not yet departed (min)=59 (+0.83)</t>
        </is>
      </c>
    </row>
    <row r="38">
      <c r="A38" t="inlineStr">
        <is>
          <t>3a431a657c861252d6690ee61a67ac0a</t>
        </is>
      </c>
      <c r="B38" t="inlineStr">
        <is>
          <t>2024-04-04</t>
        </is>
      </c>
      <c r="C38" t="inlineStr">
        <is>
          <t>F9</t>
        </is>
      </c>
      <c r="D38" t="inlineStr">
        <is>
          <t>PWM</t>
        </is>
      </c>
      <c r="E38" t="inlineStr">
        <is>
          <t>MCO</t>
        </is>
      </c>
      <c r="F38" t="inlineStr">
        <is>
          <t>PWM-MCO</t>
        </is>
      </c>
      <c r="G38" t="n">
        <v>12</v>
      </c>
      <c r="H38" t="n">
        <v>1</v>
      </c>
      <c r="I38" t="n">
        <v>0.99805</v>
      </c>
      <c r="J38" t="n">
        <v>1</v>
      </c>
      <c r="K38" t="n">
        <v>94</v>
      </c>
      <c r="L38" t="inlineStr">
        <is>
          <t>projected turn slack (min)=-44 (+3.37); aircraft's latest known departure delay=94 (+0.89); inbound leg departure delay (if departed by cutoff)=94 (+0.69)</t>
        </is>
      </c>
    </row>
    <row r="39">
      <c r="A39" t="inlineStr">
        <is>
          <t>777d1c79d18d1a9afac2c7273387a023</t>
        </is>
      </c>
      <c r="B39" t="inlineStr">
        <is>
          <t>2024-04-11</t>
        </is>
      </c>
      <c r="C39" t="inlineStr">
        <is>
          <t>AS</t>
        </is>
      </c>
      <c r="D39" t="inlineStr">
        <is>
          <t>FLL</t>
        </is>
      </c>
      <c r="E39" t="inlineStr">
        <is>
          <t>SEA</t>
        </is>
      </c>
      <c r="F39" t="inlineStr">
        <is>
          <t>FLL-SEA</t>
        </is>
      </c>
      <c r="G39" t="n">
        <v>18</v>
      </c>
      <c r="H39" t="n">
        <v>1</v>
      </c>
      <c r="I39" t="n">
        <v>0.99805</v>
      </c>
      <c r="J39" t="n">
        <v>1</v>
      </c>
      <c r="K39" t="n">
        <v>132</v>
      </c>
      <c r="L39" t="inlineStr">
        <is>
          <t>projected turn slack (min)=-72 (+3.52); aircraft's latest known departure delay=132 (+0.85); inbound leg departure delay (if departed by cutoff)=132 (+0.72)</t>
        </is>
      </c>
    </row>
    <row r="40">
      <c r="A40" t="inlineStr">
        <is>
          <t>e4f87c229e69c679d572f3e83a49174a</t>
        </is>
      </c>
      <c r="B40" t="inlineStr">
        <is>
          <t>2024-04-03</t>
        </is>
      </c>
      <c r="C40" t="inlineStr">
        <is>
          <t>AS</t>
        </is>
      </c>
      <c r="D40" t="inlineStr">
        <is>
          <t>MCO</t>
        </is>
      </c>
      <c r="E40" t="inlineStr">
        <is>
          <t>SEA</t>
        </is>
      </c>
      <c r="F40" t="inlineStr">
        <is>
          <t>MCO-SEA</t>
        </is>
      </c>
      <c r="G40" t="n">
        <v>16</v>
      </c>
      <c r="H40" t="n">
        <v>1</v>
      </c>
      <c r="I40" t="n">
        <v>0.99803</v>
      </c>
      <c r="J40" t="n">
        <v>1</v>
      </c>
      <c r="K40" t="n">
        <v>130</v>
      </c>
      <c r="L40" t="inlineStr">
        <is>
          <t>projected turn slack (min)=-60 (+3.63); aircraft's latest known departure delay=130 (+0.77); inbound leg departure delay (if departed by cutoff)=130 (+0.75)</t>
        </is>
      </c>
    </row>
    <row r="41">
      <c r="A41" t="inlineStr">
        <is>
          <t>2ae5ca0acd48f8dc544aed028d417987</t>
        </is>
      </c>
      <c r="B41" t="inlineStr">
        <is>
          <t>2024-04-11</t>
        </is>
      </c>
      <c r="C41" t="inlineStr">
        <is>
          <t>AA</t>
        </is>
      </c>
      <c r="D41" t="inlineStr">
        <is>
          <t>MIA</t>
        </is>
      </c>
      <c r="E41" t="inlineStr">
        <is>
          <t>JFK</t>
        </is>
      </c>
      <c r="F41" t="inlineStr">
        <is>
          <t>MIA-JFK</t>
        </is>
      </c>
      <c r="G41" t="n">
        <v>17</v>
      </c>
      <c r="H41" t="n">
        <v>1</v>
      </c>
      <c r="I41" t="n">
        <v>0.998</v>
      </c>
      <c r="J41" t="n">
        <v>1</v>
      </c>
      <c r="K41" t="n">
        <v>101</v>
      </c>
      <c r="L41" t="inlineStr">
        <is>
          <t>projected turn slack (min)=-36 (+3.50); aircraft's latest known departure delay=101 (+0.81); inbound leg departure delay (if departed by cutoff)=101 (+0.69)</t>
        </is>
      </c>
    </row>
    <row r="42">
      <c r="A42" t="inlineStr">
        <is>
          <t>2d0eef348cc7762bf316b8f24bdd0d38</t>
        </is>
      </c>
      <c r="B42" t="inlineStr">
        <is>
          <t>2024-04-11</t>
        </is>
      </c>
      <c r="C42" t="inlineStr">
        <is>
          <t>WN</t>
        </is>
      </c>
      <c r="D42" t="inlineStr">
        <is>
          <t>IND</t>
        </is>
      </c>
      <c r="E42" t="inlineStr">
        <is>
          <t>TPA</t>
        </is>
      </c>
      <c r="F42" t="inlineStr">
        <is>
          <t>IND-TPA</t>
        </is>
      </c>
      <c r="G42" t="n">
        <v>20</v>
      </c>
      <c r="H42" t="n">
        <v>1</v>
      </c>
      <c r="I42" t="n">
        <v>0.99793</v>
      </c>
      <c r="J42" t="n">
        <v>1</v>
      </c>
      <c r="K42" t="n">
        <v>115</v>
      </c>
      <c r="L42" t="inlineStr">
        <is>
          <t>projected turn slack (min)=-70 (+3.31); aircraft's latest known departure delay=115 (+1.11); inbound leg departure delay (if departed by cutoff)=115 (+0.70)</t>
        </is>
      </c>
    </row>
    <row r="43">
      <c r="A43" t="inlineStr">
        <is>
          <t>b6e9bb445e0a88bcf3104996b949aef4</t>
        </is>
      </c>
      <c r="B43" t="inlineStr">
        <is>
          <t>2024-04-04</t>
        </is>
      </c>
      <c r="C43" t="inlineStr">
        <is>
          <t>WN</t>
        </is>
      </c>
      <c r="D43" t="inlineStr">
        <is>
          <t>SFO</t>
        </is>
      </c>
      <c r="E43" t="inlineStr">
        <is>
          <t>DEN</t>
        </is>
      </c>
      <c r="F43" t="inlineStr">
        <is>
          <t>SFO-DEN</t>
        </is>
      </c>
      <c r="G43" t="n">
        <v>17</v>
      </c>
      <c r="H43" t="n">
        <v>1</v>
      </c>
      <c r="I43" t="n">
        <v>0.99793</v>
      </c>
      <c r="J43" t="n">
        <v>1</v>
      </c>
      <c r="K43" t="n">
        <v>110</v>
      </c>
      <c r="L43" t="inlineStr">
        <is>
          <t>projected turn slack (min)=-60 (+3.55); aircraft's latest known departure delay=110 (+0.95); inbound leg departure delay (if departed by cutoff)=110 (+0.74)</t>
        </is>
      </c>
    </row>
    <row r="44">
      <c r="A44" t="inlineStr">
        <is>
          <t>70903a29b68af471f16a3d234e49b754</t>
        </is>
      </c>
      <c r="B44" t="inlineStr">
        <is>
          <t>2024-04-20</t>
        </is>
      </c>
      <c r="C44" t="inlineStr">
        <is>
          <t>F9</t>
        </is>
      </c>
      <c r="D44" t="inlineStr">
        <is>
          <t>DFW</t>
        </is>
      </c>
      <c r="E44" t="inlineStr">
        <is>
          <t>MCO</t>
        </is>
      </c>
      <c r="F44" t="inlineStr">
        <is>
          <t>DFW-MCO</t>
        </is>
      </c>
      <c r="G44" t="n">
        <v>10</v>
      </c>
      <c r="H44" t="n">
        <v>1</v>
      </c>
      <c r="I44" t="n">
        <v>0.99788</v>
      </c>
      <c r="J44" t="n">
        <v>1</v>
      </c>
      <c r="K44" t="n">
        <v>96</v>
      </c>
      <c r="L44" t="inlineStr">
        <is>
          <t>projected turn slack (min)=-31 (+3.36); aircraft's latest known departure delay=96 (+0.71); inbound leg departure delay (if departed by cutoff)=96 (+0.60)</t>
        </is>
      </c>
    </row>
    <row r="45">
      <c r="A45" t="inlineStr">
        <is>
          <t>6ad6f9e83c61fbbe686ca58dd4748fd9</t>
        </is>
      </c>
      <c r="B45" t="inlineStr">
        <is>
          <t>2024-04-11</t>
        </is>
      </c>
      <c r="C45" t="inlineStr">
        <is>
          <t>B6</t>
        </is>
      </c>
      <c r="D45" t="inlineStr">
        <is>
          <t>BDL</t>
        </is>
      </c>
      <c r="E45" t="inlineStr">
        <is>
          <t>RSW</t>
        </is>
      </c>
      <c r="F45" t="inlineStr">
        <is>
          <t>BDL-RSW</t>
        </is>
      </c>
      <c r="G45" t="n">
        <v>16</v>
      </c>
      <c r="H45" t="n">
        <v>1</v>
      </c>
      <c r="I45" t="n">
        <v>0.99787</v>
      </c>
      <c r="J45" t="n">
        <v>1</v>
      </c>
      <c r="K45" t="n">
        <v>96</v>
      </c>
      <c r="L45" t="inlineStr">
        <is>
          <t>projected turn slack (min)=-51 (+3.71); aircraft's latest known departure delay=96 (+0.81); inbound leg departure delay (if departed by cutoff)=96 (+0.68)</t>
        </is>
      </c>
    </row>
    <row r="46">
      <c r="A46" t="inlineStr">
        <is>
          <t>9de645202f18088bc14f40902b052fa2</t>
        </is>
      </c>
      <c r="B46" t="inlineStr">
        <is>
          <t>2024-04-11</t>
        </is>
      </c>
      <c r="C46" t="inlineStr">
        <is>
          <t>WN</t>
        </is>
      </c>
      <c r="D46" t="inlineStr">
        <is>
          <t>MIA</t>
        </is>
      </c>
      <c r="E46" t="inlineStr">
        <is>
          <t>MDW</t>
        </is>
      </c>
      <c r="F46" t="inlineStr">
        <is>
          <t>MIA-MDW</t>
        </is>
      </c>
      <c r="G46" t="n">
        <v>20</v>
      </c>
      <c r="H46" t="n">
        <v>1</v>
      </c>
      <c r="I46" t="n">
        <v>0.99787</v>
      </c>
      <c r="J46" t="n">
        <v>1</v>
      </c>
      <c r="K46" t="n">
        <v>74</v>
      </c>
      <c r="L46" t="inlineStr">
        <is>
          <t>projected turn slack (min)=-29 (+3.50); aircraft's latest known departure delay=74 (+0.77); inbound leg departure delay (if departed by cutoff)=74 (+0.76)</t>
        </is>
      </c>
    </row>
    <row r="47">
      <c r="A47" t="inlineStr">
        <is>
          <t>4f87340d32e2ca7b25879396953fcb9c</t>
        </is>
      </c>
      <c r="B47" t="inlineStr">
        <is>
          <t>2024-04-03</t>
        </is>
      </c>
      <c r="C47" t="inlineStr">
        <is>
          <t>DL</t>
        </is>
      </c>
      <c r="D47" t="inlineStr">
        <is>
          <t>RSW</t>
        </is>
      </c>
      <c r="E47" t="inlineStr">
        <is>
          <t>DTW</t>
        </is>
      </c>
      <c r="F47" t="inlineStr">
        <is>
          <t>RSW-DTW</t>
        </is>
      </c>
      <c r="G47" t="n">
        <v>19</v>
      </c>
      <c r="H47" t="n">
        <v>1</v>
      </c>
      <c r="I47" t="n">
        <v>0.99786</v>
      </c>
      <c r="J47" t="n">
        <v>1</v>
      </c>
      <c r="K47" t="n">
        <v>109</v>
      </c>
      <c r="L47" t="inlineStr">
        <is>
          <t>projected turn slack (min)=-49 (+3.57); aircraft's latest known departure delay=109 (+0.84); inbound leg departure delay (if departed by cutoff)=109 (+0.77)</t>
        </is>
      </c>
    </row>
    <row r="48">
      <c r="A48" t="inlineStr">
        <is>
          <t>a95301c04840a43011db16fbf570f507</t>
        </is>
      </c>
      <c r="B48" t="inlineStr">
        <is>
          <t>2024-04-10</t>
        </is>
      </c>
      <c r="C48" t="inlineStr">
        <is>
          <t>AA</t>
        </is>
      </c>
      <c r="D48" t="inlineStr">
        <is>
          <t>DFW</t>
        </is>
      </c>
      <c r="E48" t="inlineStr">
        <is>
          <t>TPA</t>
        </is>
      </c>
      <c r="F48" t="inlineStr">
        <is>
          <t>DFW-TPA</t>
        </is>
      </c>
      <c r="G48" t="n">
        <v>20</v>
      </c>
      <c r="H48" t="n">
        <v>1</v>
      </c>
      <c r="I48" t="n">
        <v>0.99783</v>
      </c>
      <c r="J48" t="n">
        <v>1</v>
      </c>
      <c r="K48" t="n">
        <v>116</v>
      </c>
      <c r="L48" t="inlineStr">
        <is>
          <t>projected turn slack (min)=-54 (+3.60); aircraft's latest known departure delay=116 (+0.73); inbound leg departure delay (if departed by cutoff)=116 (+0.68)</t>
        </is>
      </c>
    </row>
    <row r="49">
      <c r="A49" t="inlineStr">
        <is>
          <t>b8892d373ad1df81dcc8ab7e53372fa5</t>
        </is>
      </c>
      <c r="B49" t="inlineStr">
        <is>
          <t>2024-04-03</t>
        </is>
      </c>
      <c r="C49" t="inlineStr">
        <is>
          <t>WN</t>
        </is>
      </c>
      <c r="D49" t="inlineStr">
        <is>
          <t>HOU</t>
        </is>
      </c>
      <c r="E49" t="inlineStr">
        <is>
          <t>FLL</t>
        </is>
      </c>
      <c r="F49" t="inlineStr">
        <is>
          <t>HOU-FLL</t>
        </is>
      </c>
      <c r="G49" t="n">
        <v>19</v>
      </c>
      <c r="H49" t="n">
        <v>1</v>
      </c>
      <c r="I49" t="n">
        <v>0.99782</v>
      </c>
      <c r="J49" t="n">
        <v>1</v>
      </c>
      <c r="K49" t="n">
        <v>98</v>
      </c>
      <c r="L49" t="inlineStr">
        <is>
          <t>projected turn slack (min)=-53 (+3.53); aircraft's latest known departure delay=98 (+0.88); inbound leg departure delay (if departed by cutoff)=98 (+0.76)</t>
        </is>
      </c>
    </row>
    <row r="50">
      <c r="A50" t="inlineStr">
        <is>
          <t>3521f47cd5a46f842f56c931733df782</t>
        </is>
      </c>
      <c r="B50" t="inlineStr">
        <is>
          <t>2024-04-11</t>
        </is>
      </c>
      <c r="C50" t="inlineStr">
        <is>
          <t>B6</t>
        </is>
      </c>
      <c r="D50" t="inlineStr">
        <is>
          <t>PBI</t>
        </is>
      </c>
      <c r="E50" t="inlineStr">
        <is>
          <t>JFK</t>
        </is>
      </c>
      <c r="F50" t="inlineStr">
        <is>
          <t>PBI-JFK</t>
        </is>
      </c>
      <c r="G50" t="n">
        <v>14</v>
      </c>
      <c r="H50" t="n">
        <v>1</v>
      </c>
      <c r="I50" t="n">
        <v>0.99781</v>
      </c>
      <c r="J50" t="n">
        <v>1</v>
      </c>
      <c r="K50" t="n">
        <v>110</v>
      </c>
      <c r="L50" t="inlineStr">
        <is>
          <t>projected turn slack (min)=-40 (+3.57); aircraft's latest known departure delay=110 (+0.80); inbound leg departure delay (if departed by cutoff)=110 (+0.70)</t>
        </is>
      </c>
    </row>
    <row r="51">
      <c r="A51" t="inlineStr">
        <is>
          <t>69407b49068fb78f7bbecff6238d803b</t>
        </is>
      </c>
      <c r="B51" t="inlineStr">
        <is>
          <t>2024-04-03</t>
        </is>
      </c>
      <c r="C51" t="inlineStr">
        <is>
          <t>AA</t>
        </is>
      </c>
      <c r="D51" t="inlineStr">
        <is>
          <t>SJU</t>
        </is>
      </c>
      <c r="E51" t="inlineStr">
        <is>
          <t>DFW</t>
        </is>
      </c>
      <c r="F51" t="inlineStr">
        <is>
          <t>SJU-DFW</t>
        </is>
      </c>
      <c r="G51" t="n">
        <v>14</v>
      </c>
      <c r="H51" t="n">
        <v>1</v>
      </c>
      <c r="I51" t="n">
        <v>0.9978</v>
      </c>
      <c r="J51" t="n">
        <v>1</v>
      </c>
      <c r="K51" t="n">
        <v>101</v>
      </c>
      <c r="L51" t="inlineStr">
        <is>
          <t>projected turn slack (min)=-51 (+3.87); aircraft's latest known departure delay=101 (+0.87); inbound leg departure delay (if departed by cutoff)=101 (+0.81)</t>
        </is>
      </c>
    </row>
    <row r="52">
      <c r="A52" t="inlineStr">
        <is>
          <t>ac7598a97be1cd0494ae0c338d6c02b5</t>
        </is>
      </c>
      <c r="B52" t="inlineStr">
        <is>
          <t>2024-04-11</t>
        </is>
      </c>
      <c r="C52" t="inlineStr">
        <is>
          <t>NK</t>
        </is>
      </c>
      <c r="D52" t="inlineStr">
        <is>
          <t>MIA</t>
        </is>
      </c>
      <c r="E52" t="inlineStr">
        <is>
          <t>BWI</t>
        </is>
      </c>
      <c r="F52" t="inlineStr">
        <is>
          <t>MIA-BWI</t>
        </is>
      </c>
      <c r="G52" t="n">
        <v>15</v>
      </c>
      <c r="H52" t="n">
        <v>1</v>
      </c>
      <c r="I52" t="n">
        <v>0.9978</v>
      </c>
      <c r="J52" t="n">
        <v>1</v>
      </c>
      <c r="K52" t="n">
        <v>92</v>
      </c>
      <c r="L52" t="inlineStr">
        <is>
          <t>projected turn slack (min)=-28 (+3.56); aircraft's latest known departure delay=92 (+0.75); inbound leg departure delay (if departed by cutoff)=92 (+0.73)</t>
        </is>
      </c>
    </row>
    <row r="53">
      <c r="A53" t="inlineStr">
        <is>
          <t>b37a179a2e4f3c07a28c99744bf91052</t>
        </is>
      </c>
      <c r="B53" t="inlineStr">
        <is>
          <t>2024-04-11</t>
        </is>
      </c>
      <c r="C53" t="inlineStr">
        <is>
          <t>AA</t>
        </is>
      </c>
      <c r="D53" t="inlineStr">
        <is>
          <t>FLL</t>
        </is>
      </c>
      <c r="E53" t="inlineStr">
        <is>
          <t>ORD</t>
        </is>
      </c>
      <c r="F53" t="inlineStr">
        <is>
          <t>FLL-ORD</t>
        </is>
      </c>
      <c r="G53" t="n">
        <v>16</v>
      </c>
      <c r="H53" t="n">
        <v>1</v>
      </c>
      <c r="I53" t="n">
        <v>0.9978</v>
      </c>
      <c r="J53" t="n">
        <v>1</v>
      </c>
      <c r="K53" t="n">
        <v>101</v>
      </c>
      <c r="L53" t="inlineStr">
        <is>
          <t>projected turn slack (min)=-51 (+3.50); inbound leg departure delay (if departed by cutoff)=101 (+0.75); aircraft's latest known departure delay=101 (+0.70)</t>
        </is>
      </c>
    </row>
    <row r="54">
      <c r="A54" t="inlineStr">
        <is>
          <t>6c27679e6debcb5ced927b8539c096d6</t>
        </is>
      </c>
      <c r="B54" t="inlineStr">
        <is>
          <t>2024-04-03</t>
        </is>
      </c>
      <c r="C54" t="inlineStr">
        <is>
          <t>DL</t>
        </is>
      </c>
      <c r="D54" t="inlineStr">
        <is>
          <t>RSW</t>
        </is>
      </c>
      <c r="E54" t="inlineStr">
        <is>
          <t>DTW</t>
        </is>
      </c>
      <c r="F54" t="inlineStr">
        <is>
          <t>RSW-DTW</t>
        </is>
      </c>
      <c r="G54" t="n">
        <v>16</v>
      </c>
      <c r="H54" t="n">
        <v>1</v>
      </c>
      <c r="I54" t="n">
        <v>0.99779</v>
      </c>
      <c r="J54" t="n">
        <v>1</v>
      </c>
      <c r="K54" t="n">
        <v>151</v>
      </c>
      <c r="L54" t="inlineStr">
        <is>
          <t>projected turn slack (min)=-67 (+3.55); inbound leg departure delay (if departed by cutoff)=151 (+0.70); aircraft's latest known departure delay=151 (+0.68)</t>
        </is>
      </c>
    </row>
    <row r="55">
      <c r="A55" t="inlineStr">
        <is>
          <t>563f687aa8b83aa98c1f3bbbc13d4713</t>
        </is>
      </c>
      <c r="B55" t="inlineStr">
        <is>
          <t>2024-04-29</t>
        </is>
      </c>
      <c r="C55" t="inlineStr">
        <is>
          <t>B6</t>
        </is>
      </c>
      <c r="D55" t="inlineStr">
        <is>
          <t>RSW</t>
        </is>
      </c>
      <c r="E55" t="inlineStr">
        <is>
          <t>BOS</t>
        </is>
      </c>
      <c r="F55" t="inlineStr">
        <is>
          <t>RSW-BOS</t>
        </is>
      </c>
      <c r="G55" t="n">
        <v>14</v>
      </c>
      <c r="H55" t="n">
        <v>1</v>
      </c>
      <c r="I55" t="n">
        <v>0.99775</v>
      </c>
      <c r="J55" t="n">
        <v>1</v>
      </c>
      <c r="K55" t="n">
        <v>111</v>
      </c>
      <c r="L55" t="inlineStr">
        <is>
          <t>projected turn slack (min)=-66 (+4.19); aircraft's latest known departure delay=111 (+1.09); inbound leg departure delay (if departed by cutoff)=111 (+0.82)</t>
        </is>
      </c>
    </row>
    <row r="56">
      <c r="A56" t="inlineStr">
        <is>
          <t>7b8c2365789e3e6c77da906e1b61ebe5</t>
        </is>
      </c>
      <c r="B56" t="inlineStr">
        <is>
          <t>2024-04-11</t>
        </is>
      </c>
      <c r="C56" t="inlineStr">
        <is>
          <t>AA</t>
        </is>
      </c>
      <c r="D56" t="inlineStr">
        <is>
          <t>PHL</t>
        </is>
      </c>
      <c r="E56" t="inlineStr">
        <is>
          <t>MIA</t>
        </is>
      </c>
      <c r="F56" t="inlineStr">
        <is>
          <t>PHL-MIA</t>
        </is>
      </c>
      <c r="G56" t="n">
        <v>18</v>
      </c>
      <c r="H56" t="n">
        <v>1</v>
      </c>
      <c r="I56" t="n">
        <v>0.99774</v>
      </c>
      <c r="J56" t="n">
        <v>1</v>
      </c>
      <c r="K56" t="n">
        <v>107</v>
      </c>
      <c r="L56" t="inlineStr">
        <is>
          <t>projected turn slack (min)=-45 (+3.51); aircraft's latest known departure delay=107 (+0.73); inbound leg departure delay (if departed by cutoff)=107 (+0.67)</t>
        </is>
      </c>
    </row>
    <row r="57">
      <c r="A57" t="inlineStr">
        <is>
          <t>7e35e3d06d759a92c2f44c8481d499a0</t>
        </is>
      </c>
      <c r="B57" t="inlineStr">
        <is>
          <t>2024-04-11</t>
        </is>
      </c>
      <c r="C57" t="inlineStr">
        <is>
          <t>B6</t>
        </is>
      </c>
      <c r="D57" t="inlineStr">
        <is>
          <t>MIA</t>
        </is>
      </c>
      <c r="E57" t="inlineStr">
        <is>
          <t>JFK</t>
        </is>
      </c>
      <c r="F57" t="inlineStr">
        <is>
          <t>MIA-JFK</t>
        </is>
      </c>
      <c r="G57" t="n">
        <v>16</v>
      </c>
      <c r="H57" t="n">
        <v>1</v>
      </c>
      <c r="I57" t="n">
        <v>0.9977200000000001</v>
      </c>
      <c r="J57" t="n">
        <v>1</v>
      </c>
      <c r="K57" t="n">
        <v>91</v>
      </c>
      <c r="L57" t="inlineStr">
        <is>
          <t>projected turn slack (min)=-46 (+3.55); aircraft's latest known departure delay=91 (+0.78); inbound leg departure delay (if departed by cutoff)=91 (+0.75)</t>
        </is>
      </c>
    </row>
    <row r="58">
      <c r="A58" t="inlineStr">
        <is>
          <t>9ba93a4e89a05a9a8d35aa96aa5324d6</t>
        </is>
      </c>
      <c r="B58" t="inlineStr">
        <is>
          <t>2024-04-20</t>
        </is>
      </c>
      <c r="C58" t="inlineStr">
        <is>
          <t>WN</t>
        </is>
      </c>
      <c r="D58" t="inlineStr">
        <is>
          <t>DAL</t>
        </is>
      </c>
      <c r="E58" t="inlineStr">
        <is>
          <t>SAT</t>
        </is>
      </c>
      <c r="F58" t="inlineStr">
        <is>
          <t>DAL-SAT</t>
        </is>
      </c>
      <c r="G58" t="n">
        <v>19</v>
      </c>
      <c r="H58" t="n">
        <v>1</v>
      </c>
      <c r="I58" t="n">
        <v>0.9977200000000001</v>
      </c>
      <c r="J58" t="n">
        <v>1</v>
      </c>
      <c r="K58" t="n">
        <v>114</v>
      </c>
      <c r="L58" t="inlineStr">
        <is>
          <t>projected turn slack (min)=-69 (+3.27); aircraft's latest known departure delay=114 (+0.95); inbound leg departure delay (if departed by cutoff)=114 (+0.68)</t>
        </is>
      </c>
    </row>
    <row r="59">
      <c r="A59" t="inlineStr">
        <is>
          <t>fd9551fcfbae06be95df599e4e258570</t>
        </is>
      </c>
      <c r="B59" t="inlineStr">
        <is>
          <t>2024-04-11</t>
        </is>
      </c>
      <c r="C59" t="inlineStr">
        <is>
          <t>UA</t>
        </is>
      </c>
      <c r="D59" t="inlineStr">
        <is>
          <t>FLL</t>
        </is>
      </c>
      <c r="E59" t="inlineStr">
        <is>
          <t>CLE</t>
        </is>
      </c>
      <c r="F59" t="inlineStr">
        <is>
          <t>FLL-CLE</t>
        </is>
      </c>
      <c r="G59" t="n">
        <v>18</v>
      </c>
      <c r="H59" t="n">
        <v>1</v>
      </c>
      <c r="I59" t="n">
        <v>0.9977200000000001</v>
      </c>
      <c r="J59" t="n">
        <v>1</v>
      </c>
      <c r="K59" t="n">
        <v>109</v>
      </c>
      <c r="L59" t="inlineStr">
        <is>
          <t>projected turn slack (min)=-42 (+3.76); aircraft's latest known departure delay=109 (+0.81); inbound leg departure delay (if departed by cutoff)=109 (+0.70)</t>
        </is>
      </c>
    </row>
    <row r="60">
      <c r="A60" t="inlineStr">
        <is>
          <t>9445628a77aa03fbac8dbea45613672f</t>
        </is>
      </c>
      <c r="B60" t="inlineStr">
        <is>
          <t>2024-04-17</t>
        </is>
      </c>
      <c r="C60" t="inlineStr">
        <is>
          <t>AS</t>
        </is>
      </c>
      <c r="D60" t="inlineStr">
        <is>
          <t>SAN</t>
        </is>
      </c>
      <c r="E60" t="inlineStr">
        <is>
          <t>SFO</t>
        </is>
      </c>
      <c r="F60" t="inlineStr">
        <is>
          <t>SAN-SFO</t>
        </is>
      </c>
      <c r="G60" t="n">
        <v>20</v>
      </c>
      <c r="H60" t="n">
        <v>1</v>
      </c>
      <c r="I60" t="n">
        <v>0.99771</v>
      </c>
      <c r="J60" t="n">
        <v>1</v>
      </c>
      <c r="K60" t="n">
        <v>132</v>
      </c>
      <c r="L60" t="inlineStr">
        <is>
          <t>projected turn slack (min)=-68 (+3.88); aircraft's latest known departure delay=132 (+0.86); inbound leg departure delay (if departed by cutoff)=132 (+0.76)</t>
        </is>
      </c>
    </row>
    <row r="61">
      <c r="A61" t="inlineStr">
        <is>
          <t>bdae5643aa0beea6e0f31ee36fe0b322</t>
        </is>
      </c>
      <c r="B61" t="inlineStr">
        <is>
          <t>2024-04-11</t>
        </is>
      </c>
      <c r="C61" t="inlineStr">
        <is>
          <t>DL</t>
        </is>
      </c>
      <c r="D61" t="inlineStr">
        <is>
          <t>RSW</t>
        </is>
      </c>
      <c r="E61" t="inlineStr">
        <is>
          <t>MSP</t>
        </is>
      </c>
      <c r="F61" t="inlineStr">
        <is>
          <t>RSW-MSP</t>
        </is>
      </c>
      <c r="G61" t="n">
        <v>18</v>
      </c>
      <c r="H61" t="n">
        <v>1</v>
      </c>
      <c r="I61" t="n">
        <v>0.9977</v>
      </c>
      <c r="J61" t="n">
        <v>1</v>
      </c>
      <c r="K61" t="n">
        <v>122</v>
      </c>
      <c r="L61" t="inlineStr">
        <is>
          <t>projected turn slack (min)=-57 (+3.61); aircraft's latest known departure delay=122 (+0.95); inbound leg departure delay (if departed by cutoff)=122 (+0.77)</t>
        </is>
      </c>
    </row>
    <row r="62">
      <c r="A62" t="inlineStr">
        <is>
          <t>2cef9c9a82747d63673f9d9f6abde5b1</t>
        </is>
      </c>
      <c r="B62" t="inlineStr">
        <is>
          <t>2024-04-11</t>
        </is>
      </c>
      <c r="C62" t="inlineStr">
        <is>
          <t>DL</t>
        </is>
      </c>
      <c r="D62" t="inlineStr">
        <is>
          <t>MCO</t>
        </is>
      </c>
      <c r="E62" t="inlineStr">
        <is>
          <t>SLC</t>
        </is>
      </c>
      <c r="F62" t="inlineStr">
        <is>
          <t>MCO-SLC</t>
        </is>
      </c>
      <c r="G62" t="n">
        <v>17</v>
      </c>
      <c r="H62" t="n">
        <v>1</v>
      </c>
      <c r="I62" t="n">
        <v>0.99769</v>
      </c>
      <c r="J62" t="n">
        <v>1</v>
      </c>
      <c r="K62" t="n">
        <v>146</v>
      </c>
      <c r="L62" t="inlineStr">
        <is>
          <t>projected turn slack (min)=-76 (+3.55); inbound leg departure delay (if departed by cutoff)=146 (+0.78); aircraft's latest known departure delay=146 (+0.75)</t>
        </is>
      </c>
    </row>
    <row r="63">
      <c r="A63" t="inlineStr">
        <is>
          <t>850cb67cd85cf8e3290fabe8fdae0fd4</t>
        </is>
      </c>
      <c r="B63" t="inlineStr">
        <is>
          <t>2024-04-28</t>
        </is>
      </c>
      <c r="C63" t="inlineStr">
        <is>
          <t>G4</t>
        </is>
      </c>
      <c r="D63" t="inlineStr">
        <is>
          <t>PVU</t>
        </is>
      </c>
      <c r="E63" t="inlineStr">
        <is>
          <t>AUS</t>
        </is>
      </c>
      <c r="F63" t="inlineStr">
        <is>
          <t>PVU-AUS</t>
        </is>
      </c>
      <c r="G63" t="n">
        <v>18</v>
      </c>
      <c r="H63" t="n">
        <v>1</v>
      </c>
      <c r="I63" t="n">
        <v>0.99766</v>
      </c>
      <c r="J63" t="n">
        <v>1</v>
      </c>
      <c r="K63" t="n">
        <v>100</v>
      </c>
      <c r="L63" t="inlineStr">
        <is>
          <t>projected turn slack (min)=-50 (+3.96); aircraft's latest known departure delay=100 (+0.92); inbound leg departure delay (if departed by cutoff)=100 (+0.77)</t>
        </is>
      </c>
    </row>
    <row r="64">
      <c r="A64" t="inlineStr">
        <is>
          <t>21e8e217b9af53626a2c298d3417a6fa</t>
        </is>
      </c>
      <c r="B64" t="inlineStr">
        <is>
          <t>2024-04-11</t>
        </is>
      </c>
      <c r="C64" t="inlineStr">
        <is>
          <t>DL</t>
        </is>
      </c>
      <c r="D64" t="inlineStr">
        <is>
          <t>FLL</t>
        </is>
      </c>
      <c r="E64" t="inlineStr">
        <is>
          <t>DTW</t>
        </is>
      </c>
      <c r="F64" t="inlineStr">
        <is>
          <t>FLL-DTW</t>
        </is>
      </c>
      <c r="G64" t="n">
        <v>16</v>
      </c>
      <c r="H64" t="n">
        <v>1</v>
      </c>
      <c r="I64" t="n">
        <v>0.99765</v>
      </c>
      <c r="J64" t="n">
        <v>1</v>
      </c>
      <c r="K64" t="n">
        <v>133</v>
      </c>
      <c r="L64" t="inlineStr">
        <is>
          <t>projected turn slack (min)=-53 (+3.57); inbound leg departure delay (if departed by cutoff)=133 (+0.70); aircraft's latest known departure delay=133 (+0.65)</t>
        </is>
      </c>
    </row>
    <row r="65">
      <c r="A65" t="inlineStr">
        <is>
          <t>6d63b813ba27f008cccc551467d769a6</t>
        </is>
      </c>
      <c r="B65" t="inlineStr">
        <is>
          <t>2024-04-28</t>
        </is>
      </c>
      <c r="C65" t="inlineStr">
        <is>
          <t>WN</t>
        </is>
      </c>
      <c r="D65" t="inlineStr">
        <is>
          <t>DAL</t>
        </is>
      </c>
      <c r="E65" t="inlineStr">
        <is>
          <t>ELP</t>
        </is>
      </c>
      <c r="F65" t="inlineStr">
        <is>
          <t>DAL-ELP</t>
        </is>
      </c>
      <c r="G65" t="n">
        <v>14</v>
      </c>
      <c r="H65" t="n">
        <v>1</v>
      </c>
      <c r="I65" t="n">
        <v>0.99764</v>
      </c>
      <c r="J65" t="n">
        <v>1</v>
      </c>
      <c r="K65" t="n">
        <v>101</v>
      </c>
      <c r="L65" t="inlineStr">
        <is>
          <t>projected turn slack (min)=-61 (+3.42); aircraft's latest known departure delay=101 (+0.97); inbound leg departure delay (if departed by cutoff)=101 (+0.75)</t>
        </is>
      </c>
    </row>
    <row r="66">
      <c r="A66" t="inlineStr">
        <is>
          <t>69052ce46f56d9e88e7e484f381fcf11</t>
        </is>
      </c>
      <c r="B66" t="inlineStr">
        <is>
          <t>2024-04-26</t>
        </is>
      </c>
      <c r="C66" t="inlineStr">
        <is>
          <t>F9</t>
        </is>
      </c>
      <c r="D66" t="inlineStr">
        <is>
          <t>DFW</t>
        </is>
      </c>
      <c r="E66" t="inlineStr">
        <is>
          <t>SFO</t>
        </is>
      </c>
      <c r="F66" t="inlineStr">
        <is>
          <t>DFW-SFO</t>
        </is>
      </c>
      <c r="G66" t="n">
        <v>20</v>
      </c>
      <c r="H66" t="n">
        <v>1</v>
      </c>
      <c r="I66" t="n">
        <v>0.99763</v>
      </c>
      <c r="J66" t="n">
        <v>1</v>
      </c>
      <c r="K66" t="n">
        <v>93</v>
      </c>
      <c r="L66" t="inlineStr">
        <is>
          <t>projected turn slack (min)=-31 (+3.41); aircraft's latest known departure delay=93 (+0.75); inbound leg departure delay (if departed by cutoff)=93 (+0.64)</t>
        </is>
      </c>
    </row>
    <row r="67">
      <c r="A67" t="inlineStr">
        <is>
          <t>8ab2493dac28f2687e01819788fdaceb</t>
        </is>
      </c>
      <c r="B67" t="inlineStr">
        <is>
          <t>2024-04-04</t>
        </is>
      </c>
      <c r="C67" t="inlineStr">
        <is>
          <t>DL</t>
        </is>
      </c>
      <c r="D67" t="inlineStr">
        <is>
          <t>MIA</t>
        </is>
      </c>
      <c r="E67" t="inlineStr">
        <is>
          <t>JFK</t>
        </is>
      </c>
      <c r="F67" t="inlineStr">
        <is>
          <t>MIA-JFK</t>
        </is>
      </c>
      <c r="G67" t="n">
        <v>13</v>
      </c>
      <c r="H67" t="n">
        <v>1</v>
      </c>
      <c r="I67" t="n">
        <v>0.99763</v>
      </c>
      <c r="J67" t="n">
        <v>1</v>
      </c>
      <c r="K67" t="n">
        <v>133</v>
      </c>
      <c r="L67" t="inlineStr">
        <is>
          <t>projected turn slack (min)=-66 (+3.47); aircraft's latest known departure delay=133 (+0.81); inbound leg departure delay (if departed by cutoff)=133 (+0.72)</t>
        </is>
      </c>
    </row>
    <row r="68">
      <c r="A68" t="inlineStr">
        <is>
          <t>24e7023ed79c0a700a2978848aca1938</t>
        </is>
      </c>
      <c r="B68" t="inlineStr">
        <is>
          <t>2024-04-03</t>
        </is>
      </c>
      <c r="C68" t="inlineStr">
        <is>
          <t>G4</t>
        </is>
      </c>
      <c r="D68" t="inlineStr">
        <is>
          <t>SFB</t>
        </is>
      </c>
      <c r="E68" t="inlineStr">
        <is>
          <t>PVU</t>
        </is>
      </c>
      <c r="F68" t="inlineStr">
        <is>
          <t>SFB-PVU</t>
        </is>
      </c>
      <c r="G68" t="n">
        <v>17</v>
      </c>
      <c r="H68" t="n">
        <v>1</v>
      </c>
      <c r="I68" t="n">
        <v>0.99762</v>
      </c>
      <c r="J68" t="n">
        <v>1</v>
      </c>
      <c r="K68" t="n">
        <v>141</v>
      </c>
      <c r="L68" t="inlineStr">
        <is>
          <t>projected turn slack (min)=-91 (+3.46); aircraft's latest known departure delay=141 (+1.05); inbound leg departure delay (if departed by cutoff)=141 (+0.63)</t>
        </is>
      </c>
    </row>
    <row r="69">
      <c r="A69" t="inlineStr">
        <is>
          <t>b1788f571df9958975834b0d89674978</t>
        </is>
      </c>
      <c r="B69" t="inlineStr">
        <is>
          <t>2024-04-04</t>
        </is>
      </c>
      <c r="C69" t="inlineStr">
        <is>
          <t>DL</t>
        </is>
      </c>
      <c r="D69" t="inlineStr">
        <is>
          <t>BOS</t>
        </is>
      </c>
      <c r="E69" t="inlineStr">
        <is>
          <t>TPA</t>
        </is>
      </c>
      <c r="F69" t="inlineStr">
        <is>
          <t>BOS-TPA</t>
        </is>
      </c>
      <c r="G69" t="n">
        <v>11</v>
      </c>
      <c r="H69" t="n">
        <v>1</v>
      </c>
      <c r="I69" t="n">
        <v>0.9976</v>
      </c>
      <c r="J69" t="n">
        <v>1</v>
      </c>
      <c r="K69" t="n">
        <v>104</v>
      </c>
      <c r="L69" t="inlineStr">
        <is>
          <t>projected turn slack (min)=-37 (+3.41); aircraft's latest known departure delay=104 (+0.72); inbound leg departure delay (if departed by cutoff)=104 (+0.70)</t>
        </is>
      </c>
    </row>
    <row r="70">
      <c r="A70" t="inlineStr">
        <is>
          <t>bc373c784004a50a00497480048c5a7e</t>
        </is>
      </c>
      <c r="B70" t="inlineStr">
        <is>
          <t>2024-04-11</t>
        </is>
      </c>
      <c r="C70" t="inlineStr">
        <is>
          <t>AA</t>
        </is>
      </c>
      <c r="D70" t="inlineStr">
        <is>
          <t>ORD</t>
        </is>
      </c>
      <c r="E70" t="inlineStr">
        <is>
          <t>TPA</t>
        </is>
      </c>
      <c r="F70" t="inlineStr">
        <is>
          <t>ORD-TPA</t>
        </is>
      </c>
      <c r="G70" t="n">
        <v>18</v>
      </c>
      <c r="H70" t="n">
        <v>1</v>
      </c>
      <c r="I70" t="n">
        <v>0.9976</v>
      </c>
      <c r="J70" t="n">
        <v>1</v>
      </c>
      <c r="K70" t="n">
        <v>114</v>
      </c>
      <c r="L70" t="inlineStr">
        <is>
          <t>projected turn slack (min)=-48 (+3.51); aircraft's latest known departure delay=114 (+0.85); inbound leg departure delay (if departed by cutoff)=114 (+0.65)</t>
        </is>
      </c>
    </row>
    <row r="71">
      <c r="A71" t="inlineStr">
        <is>
          <t>4dd8984af55fcb3c735788852a517ef2</t>
        </is>
      </c>
      <c r="B71" t="inlineStr">
        <is>
          <t>2024-04-11</t>
        </is>
      </c>
      <c r="C71" t="inlineStr">
        <is>
          <t>F9</t>
        </is>
      </c>
      <c r="D71" t="inlineStr">
        <is>
          <t>TPA</t>
        </is>
      </c>
      <c r="E71" t="inlineStr">
        <is>
          <t>CLE</t>
        </is>
      </c>
      <c r="F71" t="inlineStr">
        <is>
          <t>TPA-CLE</t>
        </is>
      </c>
      <c r="G71" t="n">
        <v>19</v>
      </c>
      <c r="H71" t="n">
        <v>1</v>
      </c>
      <c r="I71" t="n">
        <v>0.99759</v>
      </c>
      <c r="J71" t="n">
        <v>1</v>
      </c>
      <c r="K71" t="n">
        <v>87</v>
      </c>
      <c r="L71" t="inlineStr">
        <is>
          <t>projected turn slack (min)=-37 (+3.40); aircraft's latest known departure delay=87 (+0.74); inbound leg departure delay (if departed by cutoff)=87 (+0.66)</t>
        </is>
      </c>
    </row>
    <row r="72">
      <c r="A72" t="inlineStr">
        <is>
          <t>5811f0bf5716ab7d8db6944d10a5bf9a</t>
        </is>
      </c>
      <c r="B72" t="inlineStr">
        <is>
          <t>2024-04-14</t>
        </is>
      </c>
      <c r="C72" t="inlineStr">
        <is>
          <t>WN</t>
        </is>
      </c>
      <c r="D72" t="inlineStr">
        <is>
          <t>DCA</t>
        </is>
      </c>
      <c r="E72" t="inlineStr">
        <is>
          <t>AUS</t>
        </is>
      </c>
      <c r="F72" t="inlineStr">
        <is>
          <t>DCA-AUS</t>
        </is>
      </c>
      <c r="G72" t="n">
        <v>17</v>
      </c>
      <c r="H72" t="n">
        <v>1</v>
      </c>
      <c r="I72" t="n">
        <v>0.99759</v>
      </c>
      <c r="J72" t="n">
        <v>1</v>
      </c>
      <c r="K72" t="n">
        <v>111</v>
      </c>
      <c r="L72" t="inlineStr">
        <is>
          <t>projected turn slack (min)=-66 (+3.96); aircraft's latest known departure delay=111 (+1.06); inbound leg departure delay (if departed by cutoff)=111 (+0.81)</t>
        </is>
      </c>
    </row>
    <row r="73">
      <c r="A73" t="inlineStr">
        <is>
          <t>f19960db9eeb3faebbdc0ccdad9e29bf</t>
        </is>
      </c>
      <c r="B73" t="inlineStr">
        <is>
          <t>2024-04-26</t>
        </is>
      </c>
      <c r="C73" t="inlineStr">
        <is>
          <t>WN</t>
        </is>
      </c>
      <c r="D73" t="inlineStr">
        <is>
          <t>DAL</t>
        </is>
      </c>
      <c r="E73" t="inlineStr">
        <is>
          <t>AUS</t>
        </is>
      </c>
      <c r="F73" t="inlineStr">
        <is>
          <t>DAL-AUS</t>
        </is>
      </c>
      <c r="G73" t="n">
        <v>21</v>
      </c>
      <c r="H73" t="n">
        <v>1</v>
      </c>
      <c r="I73" t="n">
        <v>0.99759</v>
      </c>
      <c r="J73" t="n">
        <v>1</v>
      </c>
      <c r="K73" t="n">
        <v>109</v>
      </c>
      <c r="L73" t="inlineStr">
        <is>
          <t>projected turn slack (min)=-49 (+3.41); aircraft's latest known departure delay=109 (+0.96); inbound leg departure delay (if departed by cutoff)=109 (+0.76)</t>
        </is>
      </c>
    </row>
    <row r="74">
      <c r="A74" t="inlineStr">
        <is>
          <t>f48236bd2573add79d4704a74374118b</t>
        </is>
      </c>
      <c r="B74" t="inlineStr">
        <is>
          <t>2024-04-11</t>
        </is>
      </c>
      <c r="C74" t="inlineStr">
        <is>
          <t>UA</t>
        </is>
      </c>
      <c r="D74" t="inlineStr">
        <is>
          <t>MCO</t>
        </is>
      </c>
      <c r="E74" t="inlineStr">
        <is>
          <t>LAX</t>
        </is>
      </c>
      <c r="F74" t="inlineStr">
        <is>
          <t>MCO-LAX</t>
        </is>
      </c>
      <c r="G74" t="n">
        <v>19</v>
      </c>
      <c r="H74" t="n">
        <v>1</v>
      </c>
      <c r="I74" t="n">
        <v>0.99758</v>
      </c>
      <c r="J74" t="n">
        <v>1</v>
      </c>
      <c r="K74" t="n">
        <v>109</v>
      </c>
      <c r="L74" t="inlineStr">
        <is>
          <t>projected turn slack (min)=-43 (+3.49); aircraft's latest known departure delay=109 (+0.80); inbound leg departure delay (if departed by cutoff)=109 (+0.66)</t>
        </is>
      </c>
    </row>
    <row r="75">
      <c r="A75" t="inlineStr">
        <is>
          <t>a64a18bcfefb6788e873d60f0f46a2f6</t>
        </is>
      </c>
      <c r="B75" t="inlineStr">
        <is>
          <t>2024-04-11</t>
        </is>
      </c>
      <c r="C75" t="inlineStr">
        <is>
          <t>AS</t>
        </is>
      </c>
      <c r="D75" t="inlineStr">
        <is>
          <t>TPA</t>
        </is>
      </c>
      <c r="E75" t="inlineStr">
        <is>
          <t>SAN</t>
        </is>
      </c>
      <c r="F75" t="inlineStr">
        <is>
          <t>TPA-SAN</t>
        </is>
      </c>
      <c r="G75" t="n">
        <v>16</v>
      </c>
      <c r="H75" t="n">
        <v>1</v>
      </c>
      <c r="I75" t="n">
        <v>0.99756</v>
      </c>
      <c r="J75" t="n">
        <v>1</v>
      </c>
      <c r="K75" t="n">
        <v>123</v>
      </c>
      <c r="L75" t="inlineStr">
        <is>
          <t>projected turn slack (min)=-172 (+2.87); aircraft's latest known departure delay=123 (+0.70); inbound leg departure delay (if departed by cutoff)=123 (+0.52)</t>
        </is>
      </c>
    </row>
    <row r="76">
      <c r="A76" t="inlineStr">
        <is>
          <t>5d301c01a29fb642f5acd08bc7fa8c03</t>
        </is>
      </c>
      <c r="B76" t="inlineStr">
        <is>
          <t>2024-04-11</t>
        </is>
      </c>
      <c r="C76" t="inlineStr">
        <is>
          <t>DL</t>
        </is>
      </c>
      <c r="D76" t="inlineStr">
        <is>
          <t>SRQ</t>
        </is>
      </c>
      <c r="E76" t="inlineStr">
        <is>
          <t>LGA</t>
        </is>
      </c>
      <c r="F76" t="inlineStr">
        <is>
          <t>SRQ-LGA</t>
        </is>
      </c>
      <c r="G76" t="n">
        <v>15</v>
      </c>
      <c r="H76" t="n">
        <v>1</v>
      </c>
      <c r="I76" t="n">
        <v>0.99755</v>
      </c>
      <c r="J76" t="n">
        <v>1</v>
      </c>
      <c r="K76" t="n">
        <v>92</v>
      </c>
      <c r="L76" t="inlineStr">
        <is>
          <t>projected turn slack (min)=-38 (+3.63); aircraft's latest known departure delay=92 (+0.82); inbound leg departure delay (if departed by cutoff)=92 (+0.81)</t>
        </is>
      </c>
    </row>
    <row r="77">
      <c r="A77" t="inlineStr">
        <is>
          <t>dd1b3bebefc71eab63d72c2c79b48bd6</t>
        </is>
      </c>
      <c r="B77" t="inlineStr">
        <is>
          <t>2024-04-03</t>
        </is>
      </c>
      <c r="C77" t="inlineStr">
        <is>
          <t>NK</t>
        </is>
      </c>
      <c r="D77" t="inlineStr">
        <is>
          <t>MCO</t>
        </is>
      </c>
      <c r="E77" t="inlineStr">
        <is>
          <t>MCI</t>
        </is>
      </c>
      <c r="F77" t="inlineStr">
        <is>
          <t>MCO-MCI</t>
        </is>
      </c>
      <c r="G77" t="n">
        <v>20</v>
      </c>
      <c r="H77" t="n">
        <v>1</v>
      </c>
      <c r="I77" t="n">
        <v>0.99753</v>
      </c>
      <c r="J77" t="n">
        <v>1</v>
      </c>
      <c r="K77" t="n">
        <v>112</v>
      </c>
      <c r="L77" t="inlineStr">
        <is>
          <t>projected turn slack (min)=-55 (+3.63); aircraft's latest known departure delay=112 (+0.83); inbound leg departure delay (if departed by cutoff)=112 (+0.73)</t>
        </is>
      </c>
    </row>
    <row r="78">
      <c r="A78" t="inlineStr">
        <is>
          <t>cb581aa3d1f4b54d6a5259a686aa50e7</t>
        </is>
      </c>
      <c r="B78" t="inlineStr">
        <is>
          <t>2024-04-03</t>
        </is>
      </c>
      <c r="C78" t="inlineStr">
        <is>
          <t>DL</t>
        </is>
      </c>
      <c r="D78" t="inlineStr">
        <is>
          <t>MCO</t>
        </is>
      </c>
      <c r="E78" t="inlineStr">
        <is>
          <t>SLC</t>
        </is>
      </c>
      <c r="F78" t="inlineStr">
        <is>
          <t>MCO-SLC</t>
        </is>
      </c>
      <c r="G78" t="n">
        <v>16</v>
      </c>
      <c r="H78" t="n">
        <v>1</v>
      </c>
      <c r="I78" t="n">
        <v>0.99752</v>
      </c>
      <c r="J78" t="n">
        <v>1</v>
      </c>
      <c r="K78" t="n">
        <v>203</v>
      </c>
      <c r="L78" t="inlineStr">
        <is>
          <t>projected turn slack (min)=-131 (+3.31); aircraft's latest known departure delay=203 (+0.73); inbound leg departure delay (if departed by cutoff)=203 (+0.69)</t>
        </is>
      </c>
    </row>
    <row r="79">
      <c r="A79" t="inlineStr">
        <is>
          <t>059c5b75e00c34312aa9b9f998449999</t>
        </is>
      </c>
      <c r="B79" t="inlineStr">
        <is>
          <t>2024-04-11</t>
        </is>
      </c>
      <c r="C79" t="inlineStr">
        <is>
          <t>WN</t>
        </is>
      </c>
      <c r="D79" t="inlineStr">
        <is>
          <t>AUS</t>
        </is>
      </c>
      <c r="E79" t="inlineStr">
        <is>
          <t>MCO</t>
        </is>
      </c>
      <c r="F79" t="inlineStr">
        <is>
          <t>AUS-MCO</t>
        </is>
      </c>
      <c r="G79" t="n">
        <v>20</v>
      </c>
      <c r="H79" t="n">
        <v>1</v>
      </c>
      <c r="I79" t="n">
        <v>0.99748</v>
      </c>
      <c r="J79" t="n">
        <v>1</v>
      </c>
      <c r="K79" t="n">
        <v>102</v>
      </c>
      <c r="L79" t="inlineStr">
        <is>
          <t>projected turn slack (min)=-62 (+3.51); aircraft's latest known departure delay=102 (+1.08); inbound leg departure delay (if departed by cutoff)=102 (+0.79)</t>
        </is>
      </c>
    </row>
    <row r="80">
      <c r="A80" t="inlineStr">
        <is>
          <t>0c0f2a3d5c8f169659b6de113164135b</t>
        </is>
      </c>
      <c r="B80" t="inlineStr">
        <is>
          <t>2024-04-11</t>
        </is>
      </c>
      <c r="C80" t="inlineStr">
        <is>
          <t>DL</t>
        </is>
      </c>
      <c r="D80" t="inlineStr">
        <is>
          <t>LGA</t>
        </is>
      </c>
      <c r="E80" t="inlineStr">
        <is>
          <t>TPA</t>
        </is>
      </c>
      <c r="F80" t="inlineStr">
        <is>
          <t>LGA-TPA</t>
        </is>
      </c>
      <c r="G80" t="n">
        <v>19</v>
      </c>
      <c r="H80" t="n">
        <v>1</v>
      </c>
      <c r="I80" t="n">
        <v>0.99747</v>
      </c>
      <c r="J80" t="n">
        <v>1</v>
      </c>
      <c r="K80" t="n">
        <v>114</v>
      </c>
      <c r="L80" t="inlineStr">
        <is>
          <t>projected turn slack (min)=-48 (+3.53); aircraft's latest known departure delay=114 (+0.75); inbound leg departure delay (if departed by cutoff)=114 (+0.66)</t>
        </is>
      </c>
    </row>
    <row r="81">
      <c r="A81" t="inlineStr">
        <is>
          <t>7deea11c7bf93721506eb1a1b065e8b0</t>
        </is>
      </c>
      <c r="B81" t="inlineStr">
        <is>
          <t>2024-04-03</t>
        </is>
      </c>
      <c r="C81" t="inlineStr">
        <is>
          <t>F9</t>
        </is>
      </c>
      <c r="D81" t="inlineStr">
        <is>
          <t>TPA</t>
        </is>
      </c>
      <c r="E81" t="inlineStr">
        <is>
          <t>DFW</t>
        </is>
      </c>
      <c r="F81" t="inlineStr">
        <is>
          <t>TPA-DFW</t>
        </is>
      </c>
      <c r="G81" t="n">
        <v>17</v>
      </c>
      <c r="H81" t="n">
        <v>1</v>
      </c>
      <c r="I81" t="n">
        <v>0.99746</v>
      </c>
      <c r="J81" t="n">
        <v>1</v>
      </c>
      <c r="K81" t="n">
        <v>83</v>
      </c>
      <c r="L81" t="inlineStr">
        <is>
          <t>projected turn slack (min)=-33 (+2.44); inbound leg overdue, not yet departed (min)=83 (+0.80); origin precipitation at cutoff (mm/h)=11.6 (+0.60)</t>
        </is>
      </c>
    </row>
    <row r="82">
      <c r="A82" t="inlineStr">
        <is>
          <t>b9e964e5dc8ca7713bbd19af479b9573</t>
        </is>
      </c>
      <c r="B82" t="inlineStr">
        <is>
          <t>2024-04-11</t>
        </is>
      </c>
      <c r="C82" t="inlineStr">
        <is>
          <t>AS</t>
        </is>
      </c>
      <c r="D82" t="inlineStr">
        <is>
          <t>MIA</t>
        </is>
      </c>
      <c r="E82" t="inlineStr">
        <is>
          <t>SEA</t>
        </is>
      </c>
      <c r="F82" t="inlineStr">
        <is>
          <t>MIA-SEA</t>
        </is>
      </c>
      <c r="G82" t="n">
        <v>17</v>
      </c>
      <c r="H82" t="n">
        <v>1</v>
      </c>
      <c r="I82" t="n">
        <v>0.99746</v>
      </c>
      <c r="J82" t="n">
        <v>1</v>
      </c>
      <c r="K82" t="n">
        <v>148</v>
      </c>
      <c r="L82" t="inlineStr">
        <is>
          <t>projected turn slack (min)=-76 (+3.66); aircraft's latest known departure delay=148 (+0.76); inbound leg departure delay (if departed by cutoff)=148 (+0.74)</t>
        </is>
      </c>
    </row>
    <row r="83">
      <c r="A83" t="inlineStr">
        <is>
          <t>293ceb138101b4b490c7d8581868ee21</t>
        </is>
      </c>
      <c r="B83" t="inlineStr">
        <is>
          <t>2024-04-03</t>
        </is>
      </c>
      <c r="C83" t="inlineStr">
        <is>
          <t>UA</t>
        </is>
      </c>
      <c r="D83" t="inlineStr">
        <is>
          <t>FLL</t>
        </is>
      </c>
      <c r="E83" t="inlineStr">
        <is>
          <t>ORD</t>
        </is>
      </c>
      <c r="F83" t="inlineStr">
        <is>
          <t>FLL-ORD</t>
        </is>
      </c>
      <c r="G83" t="n">
        <v>19</v>
      </c>
      <c r="H83" t="n">
        <v>1</v>
      </c>
      <c r="I83" t="n">
        <v>0.99743</v>
      </c>
      <c r="J83" t="n">
        <v>1</v>
      </c>
      <c r="K83" t="n">
        <v>118</v>
      </c>
      <c r="L83" t="inlineStr">
        <is>
          <t>projected turn slack (min)=-44 (+3.53); aircraft's latest known departure delay=118 (+0.65); inbound leg departure delay (if departed by cutoff)=118 (+0.61)</t>
        </is>
      </c>
    </row>
    <row r="84">
      <c r="A84" t="inlineStr">
        <is>
          <t>f6e93a5042db66302e41e0a190bdf36f</t>
        </is>
      </c>
      <c r="B84" t="inlineStr">
        <is>
          <t>2024-04-11</t>
        </is>
      </c>
      <c r="C84" t="inlineStr">
        <is>
          <t>B6</t>
        </is>
      </c>
      <c r="D84" t="inlineStr">
        <is>
          <t>JFK</t>
        </is>
      </c>
      <c r="E84" t="inlineStr">
        <is>
          <t>SJU</t>
        </is>
      </c>
      <c r="F84" t="inlineStr">
        <is>
          <t>JFK-SJU</t>
        </is>
      </c>
      <c r="G84" t="n">
        <v>21</v>
      </c>
      <c r="H84" t="n">
        <v>1</v>
      </c>
      <c r="I84" t="n">
        <v>0.99741</v>
      </c>
      <c r="J84" t="n">
        <v>1</v>
      </c>
      <c r="K84" t="n">
        <v>101</v>
      </c>
      <c r="L84" t="inlineStr">
        <is>
          <t>projected turn slack (min)=-55 (+3.51); aircraft's latest known departure delay=101 (+0.84); inbound leg departure delay (if departed by cutoff)=101 (+0.64)</t>
        </is>
      </c>
    </row>
    <row r="85">
      <c r="A85" t="inlineStr">
        <is>
          <t>f3e1cbb9fcdc43872810e53c310e8b60</t>
        </is>
      </c>
      <c r="B85" t="inlineStr">
        <is>
          <t>2024-04-17</t>
        </is>
      </c>
      <c r="C85" t="inlineStr">
        <is>
          <t>AS</t>
        </is>
      </c>
      <c r="D85" t="inlineStr">
        <is>
          <t>MCO</t>
        </is>
      </c>
      <c r="E85" t="inlineStr">
        <is>
          <t>SAN</t>
        </is>
      </c>
      <c r="F85" t="inlineStr">
        <is>
          <t>MCO-SAN</t>
        </is>
      </c>
      <c r="G85" t="n">
        <v>16</v>
      </c>
      <c r="H85" t="n">
        <v>1</v>
      </c>
      <c r="I85" t="n">
        <v>0.99739</v>
      </c>
      <c r="J85" t="n">
        <v>1</v>
      </c>
      <c r="K85" t="n">
        <v>107</v>
      </c>
      <c r="L85" t="inlineStr">
        <is>
          <t>projected turn slack (min)=-47 (+4.21); aircraft's latest known departure delay=107 (+0.88); inbound leg departure delay (if departed by cutoff)=107 (+0.81)</t>
        </is>
      </c>
    </row>
    <row r="86">
      <c r="A86" t="inlineStr">
        <is>
          <t>62d2960de39bb221a83f147d11c4d2b9</t>
        </is>
      </c>
      <c r="B86" t="inlineStr">
        <is>
          <t>2024-04-11</t>
        </is>
      </c>
      <c r="C86" t="inlineStr">
        <is>
          <t>F9</t>
        </is>
      </c>
      <c r="D86" t="inlineStr">
        <is>
          <t>SFO</t>
        </is>
      </c>
      <c r="E86" t="inlineStr">
        <is>
          <t>LAS</t>
        </is>
      </c>
      <c r="F86" t="inlineStr">
        <is>
          <t>SFO-LAS</t>
        </is>
      </c>
      <c r="G86" t="n">
        <v>22</v>
      </c>
      <c r="H86" t="n">
        <v>1</v>
      </c>
      <c r="I86" t="n">
        <v>0.99737</v>
      </c>
      <c r="J86" t="n">
        <v>1</v>
      </c>
      <c r="K86" t="n">
        <v>98</v>
      </c>
      <c r="L86" t="inlineStr">
        <is>
          <t>projected turn slack (min)=-48 (+3.89); aircraft's latest known departure delay=98 (+1.09); inbound leg departure delay (if departed by cutoff)=98 (+0.78)</t>
        </is>
      </c>
    </row>
    <row r="87">
      <c r="A87" t="inlineStr">
        <is>
          <t>98406c0a286410d26c2de2e9f306002d</t>
        </is>
      </c>
      <c r="B87" t="inlineStr">
        <is>
          <t>2024-04-03</t>
        </is>
      </c>
      <c r="C87" t="inlineStr">
        <is>
          <t>DL</t>
        </is>
      </c>
      <c r="D87" t="inlineStr">
        <is>
          <t>SRQ</t>
        </is>
      </c>
      <c r="E87" t="inlineStr">
        <is>
          <t>MSP</t>
        </is>
      </c>
      <c r="F87" t="inlineStr">
        <is>
          <t>SRQ-MSP</t>
        </is>
      </c>
      <c r="G87" t="n">
        <v>14</v>
      </c>
      <c r="H87" t="n">
        <v>1</v>
      </c>
      <c r="I87" t="n">
        <v>0.99737</v>
      </c>
      <c r="J87" t="n">
        <v>1</v>
      </c>
      <c r="K87" t="n">
        <v>108</v>
      </c>
      <c r="L87" t="inlineStr">
        <is>
          <t>projected turn slack (min)=-41 (+3.92); aircraft's latest known departure delay=108 (+0.96); inbound leg departure delay (if departed by cutoff)=108 (+0.84)</t>
        </is>
      </c>
    </row>
    <row r="88">
      <c r="A88" t="inlineStr">
        <is>
          <t>c5c16a6a3657094d0bc4ef89077e6a46</t>
        </is>
      </c>
      <c r="B88" t="inlineStr">
        <is>
          <t>2024-04-03</t>
        </is>
      </c>
      <c r="C88" t="inlineStr">
        <is>
          <t>AS</t>
        </is>
      </c>
      <c r="D88" t="inlineStr">
        <is>
          <t>MCO</t>
        </is>
      </c>
      <c r="E88" t="inlineStr">
        <is>
          <t>PDX</t>
        </is>
      </c>
      <c r="F88" t="inlineStr">
        <is>
          <t>MCO-PDX</t>
        </is>
      </c>
      <c r="G88" t="n">
        <v>19</v>
      </c>
      <c r="H88" t="n">
        <v>1</v>
      </c>
      <c r="I88" t="n">
        <v>0.99736</v>
      </c>
      <c r="J88" t="n">
        <v>1</v>
      </c>
      <c r="K88" t="n">
        <v>112</v>
      </c>
      <c r="L88" t="inlineStr">
        <is>
          <t>projected turn slack (min)=-47 (+3.52); aircraft's latest known departure delay=112 (+0.77); inbound leg departure delay (if departed by cutoff)=112 (+0.72)</t>
        </is>
      </c>
    </row>
    <row r="89">
      <c r="A89" t="inlineStr">
        <is>
          <t>cd42128e6c9c7c552c8d570be4e6151f</t>
        </is>
      </c>
      <c r="B89" t="inlineStr">
        <is>
          <t>2024-04-11</t>
        </is>
      </c>
      <c r="C89" t="inlineStr">
        <is>
          <t>DL</t>
        </is>
      </c>
      <c r="D89" t="inlineStr">
        <is>
          <t>FLL</t>
        </is>
      </c>
      <c r="E89" t="inlineStr">
        <is>
          <t>SEA</t>
        </is>
      </c>
      <c r="F89" t="inlineStr">
        <is>
          <t>FLL-SEA</t>
        </is>
      </c>
      <c r="G89" t="n">
        <v>17</v>
      </c>
      <c r="H89" t="n">
        <v>1</v>
      </c>
      <c r="I89" t="n">
        <v>0.99736</v>
      </c>
      <c r="J89" t="n">
        <v>1</v>
      </c>
      <c r="K89" t="n">
        <v>111</v>
      </c>
      <c r="L89" t="inlineStr">
        <is>
          <t>projected turn slack (min)=-38 (+3.63); aircraft's latest known departure delay=111 (+0.72); inbound leg departure delay (if departed by cutoff)=111 (+0.63)</t>
        </is>
      </c>
    </row>
    <row r="90">
      <c r="A90" t="inlineStr">
        <is>
          <t>7382b2d5261ab2e5b8704e396a252b57</t>
        </is>
      </c>
      <c r="B90" t="inlineStr">
        <is>
          <t>2024-04-11</t>
        </is>
      </c>
      <c r="C90" t="inlineStr">
        <is>
          <t>B6</t>
        </is>
      </c>
      <c r="D90" t="inlineStr">
        <is>
          <t>BDL</t>
        </is>
      </c>
      <c r="E90" t="inlineStr">
        <is>
          <t>SJU</t>
        </is>
      </c>
      <c r="F90" t="inlineStr">
        <is>
          <t>BDL-SJU</t>
        </is>
      </c>
      <c r="G90" t="n">
        <v>21</v>
      </c>
      <c r="H90" t="n">
        <v>1</v>
      </c>
      <c r="I90" t="n">
        <v>0.99735</v>
      </c>
      <c r="J90" t="n">
        <v>1</v>
      </c>
      <c r="K90" t="n">
        <v>91</v>
      </c>
      <c r="L90" t="inlineStr">
        <is>
          <t>projected turn slack (min)=-46 (+3.55); aircraft's latest known departure delay=91 (+0.77); inbound leg departure delay (if departed by cutoff)=91 (+0.70)</t>
        </is>
      </c>
    </row>
    <row r="91">
      <c r="A91" t="inlineStr">
        <is>
          <t>8b630009eed05bf14f79e6cbc75257a6</t>
        </is>
      </c>
      <c r="B91" t="inlineStr">
        <is>
          <t>2024-04-11</t>
        </is>
      </c>
      <c r="C91" t="inlineStr">
        <is>
          <t>F9</t>
        </is>
      </c>
      <c r="D91" t="inlineStr">
        <is>
          <t>MIA</t>
        </is>
      </c>
      <c r="E91" t="inlineStr">
        <is>
          <t>PHL</t>
        </is>
      </c>
      <c r="F91" t="inlineStr">
        <is>
          <t>MIA-PHL</t>
        </is>
      </c>
      <c r="G91" t="n">
        <v>20</v>
      </c>
      <c r="H91" t="n">
        <v>1</v>
      </c>
      <c r="I91" t="n">
        <v>0.99734</v>
      </c>
      <c r="J91" t="n">
        <v>1</v>
      </c>
      <c r="K91" t="n">
        <v>105</v>
      </c>
      <c r="L91" t="inlineStr">
        <is>
          <t>projected turn slack (min)=-48 (+3.63); aircraft's latest known departure delay=105 (+0.94); inbound leg departure delay (if departed by cutoff)=105 (+0.70)</t>
        </is>
      </c>
    </row>
    <row r="92">
      <c r="A92" t="inlineStr">
        <is>
          <t>0c7027c6c62d4c2c8eaea2d2ae5ccd1b</t>
        </is>
      </c>
      <c r="B92" t="inlineStr">
        <is>
          <t>2024-04-11</t>
        </is>
      </c>
      <c r="C92" t="inlineStr">
        <is>
          <t>DL</t>
        </is>
      </c>
      <c r="D92" t="inlineStr">
        <is>
          <t>MCO</t>
        </is>
      </c>
      <c r="E92" t="inlineStr">
        <is>
          <t>MSP</t>
        </is>
      </c>
      <c r="F92" t="inlineStr">
        <is>
          <t>MCO-MSP</t>
        </is>
      </c>
      <c r="G92" t="n">
        <v>18</v>
      </c>
      <c r="H92" t="n">
        <v>1</v>
      </c>
      <c r="I92" t="n">
        <v>0.99732</v>
      </c>
      <c r="J92" t="n">
        <v>1</v>
      </c>
      <c r="K92" t="n">
        <v>147</v>
      </c>
      <c r="L92" t="inlineStr">
        <is>
          <t>projected turn slack (min)=-64 (+3.38); inbound leg departure delay (if departed by cutoff)=147 (+0.71); aircraft's latest known departure delay=147 (+0.62)</t>
        </is>
      </c>
    </row>
    <row r="93">
      <c r="A93" t="inlineStr">
        <is>
          <t>178873465529e9499cecdb28a4e9f176</t>
        </is>
      </c>
      <c r="B93" t="inlineStr">
        <is>
          <t>2024-04-21</t>
        </is>
      </c>
      <c r="C93" t="inlineStr">
        <is>
          <t>F9</t>
        </is>
      </c>
      <c r="D93" t="inlineStr">
        <is>
          <t>ISP</t>
        </is>
      </c>
      <c r="E93" t="inlineStr">
        <is>
          <t>TPA</t>
        </is>
      </c>
      <c r="F93" t="inlineStr">
        <is>
          <t>ISP-TPA</t>
        </is>
      </c>
      <c r="G93" t="n">
        <v>11</v>
      </c>
      <c r="H93" t="n">
        <v>1</v>
      </c>
      <c r="I93" t="n">
        <v>0.99732</v>
      </c>
      <c r="J93" t="n">
        <v>1</v>
      </c>
      <c r="K93" t="n">
        <v>100</v>
      </c>
      <c r="L93" t="inlineStr">
        <is>
          <t>projected turn slack (min)=-40 (+3.88); aircraft's latest known departure delay=100 (+0.91); inbound leg departure delay (if departed by cutoff)=100 (+0.67)</t>
        </is>
      </c>
    </row>
    <row r="94">
      <c r="A94" t="inlineStr">
        <is>
          <t>dea8c196eea144fdf4926f858b7f474c</t>
        </is>
      </c>
      <c r="B94" t="inlineStr">
        <is>
          <t>2024-04-26</t>
        </is>
      </c>
      <c r="C94" t="inlineStr">
        <is>
          <t>WN</t>
        </is>
      </c>
      <c r="D94" t="inlineStr">
        <is>
          <t>LAS</t>
        </is>
      </c>
      <c r="E94" t="inlineStr">
        <is>
          <t>IND</t>
        </is>
      </c>
      <c r="F94" t="inlineStr">
        <is>
          <t>LAS-IND</t>
        </is>
      </c>
      <c r="G94" t="n">
        <v>18</v>
      </c>
      <c r="H94" t="n">
        <v>1</v>
      </c>
      <c r="I94" t="n">
        <v>0.99732</v>
      </c>
      <c r="J94" t="n">
        <v>1</v>
      </c>
      <c r="K94" t="n">
        <v>100</v>
      </c>
      <c r="L94" t="inlineStr">
        <is>
          <t>projected turn slack (min)=-45 (+3.73); aircraft's latest known departure delay=100 (+0.91); inbound leg departure delay (if departed by cutoff)=100 (+0.77)</t>
        </is>
      </c>
    </row>
    <row r="95">
      <c r="A95" t="inlineStr">
        <is>
          <t>25dff58d3966717f41a1450a2addcb44</t>
        </is>
      </c>
      <c r="B95" t="inlineStr">
        <is>
          <t>2024-04-03</t>
        </is>
      </c>
      <c r="C95" t="inlineStr">
        <is>
          <t>NK</t>
        </is>
      </c>
      <c r="D95" t="inlineStr">
        <is>
          <t>SJU</t>
        </is>
      </c>
      <c r="E95" t="inlineStr">
        <is>
          <t>DFW</t>
        </is>
      </c>
      <c r="F95" t="inlineStr">
        <is>
          <t>SJU-DFW</t>
        </is>
      </c>
      <c r="G95" t="n">
        <v>20</v>
      </c>
      <c r="H95" t="n">
        <v>1</v>
      </c>
      <c r="I95" t="n">
        <v>0.99731</v>
      </c>
      <c r="J95" t="n">
        <v>1</v>
      </c>
      <c r="K95" t="n">
        <v>127</v>
      </c>
      <c r="L95" t="inlineStr">
        <is>
          <t>projected turn slack (min)=-77 (+3.71); aircraft's latest known departure delay=127 (+0.94); inbound leg departure delay (if departed by cutoff)=127 (+0.78)</t>
        </is>
      </c>
    </row>
    <row r="96">
      <c r="A96" t="inlineStr">
        <is>
          <t>56404f24001cbd4e75eb9877a4d0b841</t>
        </is>
      </c>
      <c r="B96" t="inlineStr">
        <is>
          <t>2024-04-04</t>
        </is>
      </c>
      <c r="C96" t="inlineStr">
        <is>
          <t>B6</t>
        </is>
      </c>
      <c r="D96" t="inlineStr">
        <is>
          <t>ORH</t>
        </is>
      </c>
      <c r="E96" t="inlineStr">
        <is>
          <t>RSW</t>
        </is>
      </c>
      <c r="F96" t="inlineStr">
        <is>
          <t>ORH-RSW</t>
        </is>
      </c>
      <c r="G96" t="n">
        <v>16</v>
      </c>
      <c r="H96" t="n">
        <v>1</v>
      </c>
      <c r="I96" t="n">
        <v>0.99731</v>
      </c>
      <c r="J96" t="n">
        <v>1</v>
      </c>
      <c r="K96" t="n">
        <v>74</v>
      </c>
      <c r="L96" t="inlineStr">
        <is>
          <t>projected turn slack (min)=-29 (+3.67); aircraft's latest known departure delay=74 (+0.81); inbound leg departure delay (if departed by cutoff)=74 (+0.78)</t>
        </is>
      </c>
    </row>
    <row r="97">
      <c r="A97" t="inlineStr">
        <is>
          <t>933a91988dd52b70f542419444e67a20</t>
        </is>
      </c>
      <c r="B97" t="inlineStr">
        <is>
          <t>2024-04-25</t>
        </is>
      </c>
      <c r="C97" t="inlineStr">
        <is>
          <t>F9</t>
        </is>
      </c>
      <c r="D97" t="inlineStr">
        <is>
          <t>SFO</t>
        </is>
      </c>
      <c r="E97" t="inlineStr">
        <is>
          <t>LAS</t>
        </is>
      </c>
      <c r="F97" t="inlineStr">
        <is>
          <t>SFO-LAS</t>
        </is>
      </c>
      <c r="G97" t="n">
        <v>22</v>
      </c>
      <c r="H97" t="n">
        <v>1</v>
      </c>
      <c r="I97" t="n">
        <v>0.99731</v>
      </c>
      <c r="J97" t="n">
        <v>1</v>
      </c>
      <c r="K97" t="n">
        <v>128</v>
      </c>
      <c r="L97" t="inlineStr">
        <is>
          <t>projected turn slack (min)=-78 (+3.60); aircraft's latest known departure delay=128 (+1.04); inbound leg departure delay (if departed by cutoff)=128 (+0.66)</t>
        </is>
      </c>
    </row>
    <row r="98">
      <c r="A98" t="inlineStr">
        <is>
          <t>955fb4207d5dd03ce5d2dadf3f17014d</t>
        </is>
      </c>
      <c r="B98" t="inlineStr">
        <is>
          <t>2024-04-22</t>
        </is>
      </c>
      <c r="C98" t="inlineStr">
        <is>
          <t>F9</t>
        </is>
      </c>
      <c r="D98" t="inlineStr">
        <is>
          <t>ATL</t>
        </is>
      </c>
      <c r="E98" t="inlineStr">
        <is>
          <t>SFO</t>
        </is>
      </c>
      <c r="F98" t="inlineStr">
        <is>
          <t>ATL-SFO</t>
        </is>
      </c>
      <c r="G98" t="n">
        <v>19</v>
      </c>
      <c r="H98" t="n">
        <v>1</v>
      </c>
      <c r="I98" t="n">
        <v>0.99731</v>
      </c>
      <c r="J98" t="n">
        <v>1</v>
      </c>
      <c r="K98" t="n">
        <v>135</v>
      </c>
      <c r="L98" t="inlineStr">
        <is>
          <t>projected turn slack (min)=-74 (+3.71); aircraft's latest known departure delay=135 (+0.90); inbound leg departure delay (if departed by cutoff)=135 (+0.65)</t>
        </is>
      </c>
    </row>
    <row r="99">
      <c r="A99" t="inlineStr">
        <is>
          <t>16457b20f1556148f78b4e99cfcb3152</t>
        </is>
      </c>
      <c r="B99" t="inlineStr">
        <is>
          <t>2024-04-11</t>
        </is>
      </c>
      <c r="C99" t="inlineStr">
        <is>
          <t>B6</t>
        </is>
      </c>
      <c r="D99" t="inlineStr">
        <is>
          <t>HPN</t>
        </is>
      </c>
      <c r="E99" t="inlineStr">
        <is>
          <t>PBI</t>
        </is>
      </c>
      <c r="F99" t="inlineStr">
        <is>
          <t>HPN-PBI</t>
        </is>
      </c>
      <c r="G99" t="n">
        <v>15</v>
      </c>
      <c r="H99" t="n">
        <v>1</v>
      </c>
      <c r="I99" t="n">
        <v>0.9973</v>
      </c>
      <c r="J99" t="n">
        <v>1</v>
      </c>
      <c r="K99" t="n">
        <v>77</v>
      </c>
      <c r="L99" t="inlineStr">
        <is>
          <t>projected turn slack (min)=-32 (+3.71); aircraft's latest known departure delay=77 (+0.78); inbound leg departure delay (if departed by cutoff)=77 (+0.71)</t>
        </is>
      </c>
    </row>
    <row r="100">
      <c r="A100" t="inlineStr">
        <is>
          <t>098d8f880f1b118ee7150adafa19d380</t>
        </is>
      </c>
      <c r="B100" t="inlineStr">
        <is>
          <t>2024-04-21</t>
        </is>
      </c>
      <c r="C100" t="inlineStr">
        <is>
          <t>B6</t>
        </is>
      </c>
      <c r="D100" t="inlineStr">
        <is>
          <t>LAX</t>
        </is>
      </c>
      <c r="E100" t="inlineStr">
        <is>
          <t>FLL</t>
        </is>
      </c>
      <c r="F100" t="inlineStr">
        <is>
          <t>LAX-FLL</t>
        </is>
      </c>
      <c r="G100" t="n">
        <v>21</v>
      </c>
      <c r="H100" t="n">
        <v>1</v>
      </c>
      <c r="I100" t="n">
        <v>0.9972800000000001</v>
      </c>
      <c r="J100" t="n">
        <v>1</v>
      </c>
      <c r="K100" t="n">
        <v>102</v>
      </c>
      <c r="L100" t="inlineStr">
        <is>
          <t>projected turn slack (min)=-62 (+4.02); aircraft's latest known departure delay=102 (+1.03); inbound leg departure delay (if departed by cutoff)=102 (+0.77)</t>
        </is>
      </c>
    </row>
    <row r="101">
      <c r="A101" t="inlineStr">
        <is>
          <t>ca4460314d727f6b18fc94da184ae209</t>
        </is>
      </c>
      <c r="B101" t="inlineStr">
        <is>
          <t>2024-04-21</t>
        </is>
      </c>
      <c r="C101" t="inlineStr">
        <is>
          <t>F9</t>
        </is>
      </c>
      <c r="D101" t="inlineStr">
        <is>
          <t>TPA</t>
        </is>
      </c>
      <c r="E101" t="inlineStr">
        <is>
          <t>DEN</t>
        </is>
      </c>
      <c r="F101" t="inlineStr">
        <is>
          <t>TPA-DEN</t>
        </is>
      </c>
      <c r="G101" t="n">
        <v>15</v>
      </c>
      <c r="H101" t="n">
        <v>1</v>
      </c>
      <c r="I101" t="n">
        <v>0.9972800000000001</v>
      </c>
      <c r="J101" t="n">
        <v>1</v>
      </c>
      <c r="K101" t="n">
        <v>90</v>
      </c>
      <c r="L101" t="inlineStr">
        <is>
          <t>projected turn slack (min)=-29 (+3.84); inbound leg departure delay (if departed by cutoff)=90 (+0.74); aircraft's latest known departure delay=90 (+0.72)</t>
        </is>
      </c>
    </row>
    <row r="102">
      <c r="A102" t="inlineStr">
        <is>
          <t>0b8fd760b15ad2d70802ac5a31b167ac</t>
        </is>
      </c>
      <c r="B102" t="inlineStr">
        <is>
          <t>2024-04-04</t>
        </is>
      </c>
      <c r="C102" t="inlineStr">
        <is>
          <t>F9</t>
        </is>
      </c>
      <c r="D102" t="inlineStr">
        <is>
          <t>CVG</t>
        </is>
      </c>
      <c r="E102" t="inlineStr">
        <is>
          <t>RSW</t>
        </is>
      </c>
      <c r="F102" t="inlineStr">
        <is>
          <t>CVG-RSW</t>
        </is>
      </c>
      <c r="G102" t="n">
        <v>15</v>
      </c>
      <c r="H102" t="n">
        <v>1</v>
      </c>
      <c r="I102" t="n">
        <v>0.99727</v>
      </c>
      <c r="J102" t="n">
        <v>1</v>
      </c>
      <c r="K102" t="n">
        <v>101</v>
      </c>
      <c r="L102" t="inlineStr">
        <is>
          <t>projected turn slack (min)=-41 (+3.77); aircraft's latest known departure delay=101 (+0.87); inbound leg departure delay (if departed by cutoff)=101 (+0.71)</t>
        </is>
      </c>
    </row>
    <row r="103">
      <c r="A103" t="inlineStr">
        <is>
          <t>e5858f9c782b8a227269a2b5b871984c</t>
        </is>
      </c>
      <c r="B103" t="inlineStr">
        <is>
          <t>2024-04-26</t>
        </is>
      </c>
      <c r="C103" t="inlineStr">
        <is>
          <t>WN</t>
        </is>
      </c>
      <c r="D103" t="inlineStr">
        <is>
          <t>LAS</t>
        </is>
      </c>
      <c r="E103" t="inlineStr">
        <is>
          <t>MDW</t>
        </is>
      </c>
      <c r="F103" t="inlineStr">
        <is>
          <t>LAS-MDW</t>
        </is>
      </c>
      <c r="G103" t="n">
        <v>17</v>
      </c>
      <c r="H103" t="n">
        <v>1</v>
      </c>
      <c r="I103" t="n">
        <v>0.99727</v>
      </c>
      <c r="J103" t="n">
        <v>1</v>
      </c>
      <c r="K103" t="n">
        <v>93</v>
      </c>
      <c r="L103" t="inlineStr">
        <is>
          <t>projected turn slack (min)=-33 (+3.52); aircraft's latest known departure delay=93 (+0.88); inbound leg departure delay (if departed by cutoff)=93 (+0.72)</t>
        </is>
      </c>
    </row>
    <row r="104">
      <c r="A104" t="inlineStr">
        <is>
          <t>f25fbfd28fb79b0294a9ef79ab72ed62</t>
        </is>
      </c>
      <c r="B104" t="inlineStr">
        <is>
          <t>2024-04-11</t>
        </is>
      </c>
      <c r="C104" t="inlineStr">
        <is>
          <t>DL</t>
        </is>
      </c>
      <c r="D104" t="inlineStr">
        <is>
          <t>MCO</t>
        </is>
      </c>
      <c r="E104" t="inlineStr">
        <is>
          <t>LAX</t>
        </is>
      </c>
      <c r="F104" t="inlineStr">
        <is>
          <t>MCO-LAX</t>
        </is>
      </c>
      <c r="G104" t="n">
        <v>16</v>
      </c>
      <c r="H104" t="n">
        <v>1</v>
      </c>
      <c r="I104" t="n">
        <v>0.99727</v>
      </c>
      <c r="J104" t="n">
        <v>1</v>
      </c>
      <c r="K104" t="n">
        <v>189</v>
      </c>
      <c r="L104" t="inlineStr">
        <is>
          <t>projected turn slack (min)=-119 (+3.00); aircraft's latest known departure delay=189 (+0.78); inbound leg departure delay (if departed by cutoff)=189 (+0.66)</t>
        </is>
      </c>
    </row>
    <row r="105">
      <c r="A105" t="inlineStr">
        <is>
          <t>f5c6935287151abe22afa860e39d4b4e</t>
        </is>
      </c>
      <c r="B105" t="inlineStr">
        <is>
          <t>2024-04-26</t>
        </is>
      </c>
      <c r="C105" t="inlineStr">
        <is>
          <t>WN</t>
        </is>
      </c>
      <c r="D105" t="inlineStr">
        <is>
          <t>DAL</t>
        </is>
      </c>
      <c r="E105" t="inlineStr">
        <is>
          <t>PHX</t>
        </is>
      </c>
      <c r="F105" t="inlineStr">
        <is>
          <t>DAL-PHX</t>
        </is>
      </c>
      <c r="G105" t="n">
        <v>16</v>
      </c>
      <c r="H105" t="n">
        <v>1</v>
      </c>
      <c r="I105" t="n">
        <v>0.99726</v>
      </c>
      <c r="J105" t="n">
        <v>1</v>
      </c>
      <c r="K105" t="n">
        <v>79</v>
      </c>
      <c r="L105" t="inlineStr">
        <is>
          <t>projected turn slack (min)=-44 (+3.39); aircraft's latest known departure delay=79 (+0.83); inbound leg departure delay (if departed by cutoff)=79 (+0.74)</t>
        </is>
      </c>
    </row>
    <row r="106">
      <c r="A106" t="inlineStr">
        <is>
          <t>1ec76743f40c7790112ed6479315db57</t>
        </is>
      </c>
      <c r="B106" t="inlineStr">
        <is>
          <t>2024-04-21</t>
        </is>
      </c>
      <c r="C106" t="inlineStr">
        <is>
          <t>NK</t>
        </is>
      </c>
      <c r="D106" t="inlineStr">
        <is>
          <t>BOS</t>
        </is>
      </c>
      <c r="E106" t="inlineStr">
        <is>
          <t>MCO</t>
        </is>
      </c>
      <c r="F106" t="inlineStr">
        <is>
          <t>BOS-MCO</t>
        </is>
      </c>
      <c r="G106" t="n">
        <v>20</v>
      </c>
      <c r="H106" t="n">
        <v>1</v>
      </c>
      <c r="I106" t="n">
        <v>0.99725</v>
      </c>
      <c r="J106" t="n">
        <v>1</v>
      </c>
      <c r="K106" t="n">
        <v>111</v>
      </c>
      <c r="L106" t="inlineStr">
        <is>
          <t>projected turn slack (min)=-61 (+4.00); aircraft's latest known departure delay=111 (+0.94); inbound leg departure delay (if departed by cutoff)=111 (+0.80)</t>
        </is>
      </c>
    </row>
    <row r="107">
      <c r="A107" t="inlineStr">
        <is>
          <t>3ff5c2a5a9853c65c4a0a342c5164c41</t>
        </is>
      </c>
      <c r="B107" t="inlineStr">
        <is>
          <t>2024-04-27</t>
        </is>
      </c>
      <c r="C107" t="inlineStr">
        <is>
          <t>AA</t>
        </is>
      </c>
      <c r="D107" t="inlineStr">
        <is>
          <t>LAS</t>
        </is>
      </c>
      <c r="E107" t="inlineStr">
        <is>
          <t>DFW</t>
        </is>
      </c>
      <c r="F107" t="inlineStr">
        <is>
          <t>LAS-DFW</t>
        </is>
      </c>
      <c r="G107" t="n">
        <v>16</v>
      </c>
      <c r="H107" t="n">
        <v>1</v>
      </c>
      <c r="I107" t="n">
        <v>0.9972299999999999</v>
      </c>
      <c r="J107" t="n">
        <v>1</v>
      </c>
      <c r="K107" t="n">
        <v>108</v>
      </c>
      <c r="L107" t="inlineStr">
        <is>
          <t>projected turn slack (min)=-54 (+3.72); aircraft's latest known departure delay=108 (+0.84); inbound leg departure delay (if departed by cutoff)=108 (+0.74)</t>
        </is>
      </c>
    </row>
    <row r="108">
      <c r="A108" t="inlineStr">
        <is>
          <t>845093cc00be3ff8494fc9031c7d8a20</t>
        </is>
      </c>
      <c r="B108" t="inlineStr">
        <is>
          <t>2024-04-12</t>
        </is>
      </c>
      <c r="C108" t="inlineStr">
        <is>
          <t>DL</t>
        </is>
      </c>
      <c r="D108" t="inlineStr">
        <is>
          <t>IAH</t>
        </is>
      </c>
      <c r="E108" t="inlineStr">
        <is>
          <t>LGA</t>
        </is>
      </c>
      <c r="F108" t="inlineStr">
        <is>
          <t>IAH-LGA</t>
        </is>
      </c>
      <c r="G108" t="n">
        <v>14</v>
      </c>
      <c r="H108" t="n">
        <v>1</v>
      </c>
      <c r="I108" t="n">
        <v>0.9972299999999999</v>
      </c>
      <c r="J108" t="n">
        <v>1</v>
      </c>
      <c r="K108" t="n">
        <v>120</v>
      </c>
      <c r="L108" t="inlineStr">
        <is>
          <t>projected turn slack (min)=-65 (+3.82); aircraft's latest known departure delay=120 (+0.91); inbound leg departure delay (if departed by cutoff)=120 (+0.79)</t>
        </is>
      </c>
    </row>
    <row r="109">
      <c r="A109" t="inlineStr">
        <is>
          <t>b07413609f5a17f5fbbbf1e082dc9fbc</t>
        </is>
      </c>
      <c r="B109" t="inlineStr">
        <is>
          <t>2024-04-11</t>
        </is>
      </c>
      <c r="C109" t="inlineStr">
        <is>
          <t>AS</t>
        </is>
      </c>
      <c r="D109" t="inlineStr">
        <is>
          <t>MIA</t>
        </is>
      </c>
      <c r="E109" t="inlineStr">
        <is>
          <t>PDX</t>
        </is>
      </c>
      <c r="F109" t="inlineStr">
        <is>
          <t>MIA-PDX</t>
        </is>
      </c>
      <c r="G109" t="n">
        <v>18</v>
      </c>
      <c r="H109" t="n">
        <v>1</v>
      </c>
      <c r="I109" t="n">
        <v>0.9972299999999999</v>
      </c>
      <c r="J109" t="n">
        <v>1</v>
      </c>
      <c r="K109" t="n">
        <v>92</v>
      </c>
      <c r="L109" t="inlineStr">
        <is>
          <t>projected turn slack (min)=-32 (+3.72); aircraft's latest known departure delay=92 (+0.76); inbound leg departure delay (if departed by cutoff)=92 (+0.74)</t>
        </is>
      </c>
    </row>
    <row r="110">
      <c r="A110" t="inlineStr">
        <is>
          <t>724f128e2a093a5dd422c5a11aca2f98</t>
        </is>
      </c>
      <c r="B110" t="inlineStr">
        <is>
          <t>2024-04-11</t>
        </is>
      </c>
      <c r="C110" t="inlineStr">
        <is>
          <t>NK</t>
        </is>
      </c>
      <c r="D110" t="inlineStr">
        <is>
          <t>MIA</t>
        </is>
      </c>
      <c r="E110" t="inlineStr">
        <is>
          <t>LAS</t>
        </is>
      </c>
      <c r="F110" t="inlineStr">
        <is>
          <t>MIA-LAS</t>
        </is>
      </c>
      <c r="G110" t="n">
        <v>19</v>
      </c>
      <c r="H110" t="n">
        <v>1</v>
      </c>
      <c r="I110" t="n">
        <v>0.99722</v>
      </c>
      <c r="J110" t="n">
        <v>1</v>
      </c>
      <c r="K110" t="n">
        <v>105</v>
      </c>
      <c r="L110" t="inlineStr">
        <is>
          <t>projected turn slack (min)=-49 (+3.76); aircraft's latest known departure delay=105 (+0.92); inbound leg departure delay (if departed by cutoff)=105 (+0.82)</t>
        </is>
      </c>
    </row>
    <row r="111">
      <c r="A111" t="inlineStr">
        <is>
          <t>89bab1040336b8949e429fe66deb1554</t>
        </is>
      </c>
      <c r="B111" t="inlineStr">
        <is>
          <t>2024-04-18</t>
        </is>
      </c>
      <c r="C111" t="inlineStr">
        <is>
          <t>F9</t>
        </is>
      </c>
      <c r="D111" t="inlineStr">
        <is>
          <t>SFO</t>
        </is>
      </c>
      <c r="E111" t="inlineStr">
        <is>
          <t>LAS</t>
        </is>
      </c>
      <c r="F111" t="inlineStr">
        <is>
          <t>SFO-LAS</t>
        </is>
      </c>
      <c r="G111" t="n">
        <v>22</v>
      </c>
      <c r="H111" t="n">
        <v>1</v>
      </c>
      <c r="I111" t="n">
        <v>0.99722</v>
      </c>
      <c r="J111" t="n">
        <v>1</v>
      </c>
      <c r="K111" t="n">
        <v>101</v>
      </c>
      <c r="L111" t="inlineStr">
        <is>
          <t>projected turn slack (min)=-51 (+3.78); aircraft's latest known departure delay=101 (+1.04); inbound leg departure delay (if departed by cutoff)=101 (+0.73)</t>
        </is>
      </c>
    </row>
    <row r="112">
      <c r="A112" t="inlineStr">
        <is>
          <t>bf57db47fbac00b50e45c482b34749ad</t>
        </is>
      </c>
      <c r="B112" t="inlineStr">
        <is>
          <t>2024-04-10</t>
        </is>
      </c>
      <c r="C112" t="inlineStr">
        <is>
          <t>WN</t>
        </is>
      </c>
      <c r="D112" t="inlineStr">
        <is>
          <t>LAX</t>
        </is>
      </c>
      <c r="E112" t="inlineStr">
        <is>
          <t>HOU</t>
        </is>
      </c>
      <c r="F112" t="inlineStr">
        <is>
          <t>LAX-HOU</t>
        </is>
      </c>
      <c r="G112" t="n">
        <v>17</v>
      </c>
      <c r="H112" t="n">
        <v>1</v>
      </c>
      <c r="I112" t="n">
        <v>0.99722</v>
      </c>
      <c r="J112" t="n">
        <v>1</v>
      </c>
      <c r="K112" t="n">
        <v>110</v>
      </c>
      <c r="L112" t="inlineStr">
        <is>
          <t>projected turn slack (min)=-65 (+3.95); aircraft's latest known departure delay=110 (+1.10); inbound leg departure delay (if departed by cutoff)=110 (+0.78)</t>
        </is>
      </c>
    </row>
    <row r="113">
      <c r="A113" t="inlineStr">
        <is>
          <t>effc576b47cef1f8290e1d4a595ca819</t>
        </is>
      </c>
      <c r="B113" t="inlineStr">
        <is>
          <t>2024-04-12</t>
        </is>
      </c>
      <c r="C113" t="inlineStr">
        <is>
          <t>NK</t>
        </is>
      </c>
      <c r="D113" t="inlineStr">
        <is>
          <t>BOS</t>
        </is>
      </c>
      <c r="E113" t="inlineStr">
        <is>
          <t>CHS</t>
        </is>
      </c>
      <c r="F113" t="inlineStr">
        <is>
          <t>BOS-CHS</t>
        </is>
      </c>
      <c r="G113" t="n">
        <v>16</v>
      </c>
      <c r="H113" t="n">
        <v>1</v>
      </c>
      <c r="I113" t="n">
        <v>0.99722</v>
      </c>
      <c r="J113" t="n">
        <v>1</v>
      </c>
      <c r="K113" t="n">
        <v>104</v>
      </c>
      <c r="L113" t="inlineStr">
        <is>
          <t>projected turn slack (min)=-54 (+3.75); aircraft's latest known departure delay=104 (+0.98); inbound leg departure delay (if departed by cutoff)=104 (+0.79)</t>
        </is>
      </c>
    </row>
    <row r="114">
      <c r="A114" t="inlineStr">
        <is>
          <t>90fa946f5f1a500bc9e554cc80d0dddd</t>
        </is>
      </c>
      <c r="B114" t="inlineStr">
        <is>
          <t>2024-04-11</t>
        </is>
      </c>
      <c r="C114" t="inlineStr">
        <is>
          <t>NK</t>
        </is>
      </c>
      <c r="D114" t="inlineStr">
        <is>
          <t>BWI</t>
        </is>
      </c>
      <c r="E114" t="inlineStr">
        <is>
          <t>MIA</t>
        </is>
      </c>
      <c r="F114" t="inlineStr">
        <is>
          <t>BWI-MIA</t>
        </is>
      </c>
      <c r="G114" t="n">
        <v>19</v>
      </c>
      <c r="H114" t="n">
        <v>1</v>
      </c>
      <c r="I114" t="n">
        <v>0.99721</v>
      </c>
      <c r="J114" t="n">
        <v>1</v>
      </c>
      <c r="K114" t="n">
        <v>88</v>
      </c>
      <c r="L114" t="inlineStr">
        <is>
          <t>projected turn slack (min)=-37 (+3.39); inbound leg departure delay (if departed by cutoff)=88 (+0.68); aircraft's latest known departure delay=88 (+0.66)</t>
        </is>
      </c>
    </row>
    <row r="115">
      <c r="A115" t="inlineStr">
        <is>
          <t>2fe1e95f2c8b032e6d4a2ce3ede7f4aa</t>
        </is>
      </c>
      <c r="B115" t="inlineStr">
        <is>
          <t>2024-04-03</t>
        </is>
      </c>
      <c r="C115" t="inlineStr">
        <is>
          <t>AS</t>
        </is>
      </c>
      <c r="D115" t="inlineStr">
        <is>
          <t>MIA</t>
        </is>
      </c>
      <c r="E115" t="inlineStr">
        <is>
          <t>PDX</t>
        </is>
      </c>
      <c r="F115" t="inlineStr">
        <is>
          <t>MIA-PDX</t>
        </is>
      </c>
      <c r="G115" t="n">
        <v>18</v>
      </c>
      <c r="H115" t="n">
        <v>1</v>
      </c>
      <c r="I115" t="n">
        <v>0.99719</v>
      </c>
      <c r="J115" t="n">
        <v>1</v>
      </c>
      <c r="K115" t="n">
        <v>249</v>
      </c>
      <c r="L115" t="inlineStr">
        <is>
          <t>projected turn slack (min)=-189 (+3.39); aircraft's latest known departure delay=249 (+0.87); inbound leg departure delay (if departed by cutoff)=249 (+0.74)</t>
        </is>
      </c>
    </row>
    <row r="116">
      <c r="A116" t="inlineStr">
        <is>
          <t>cd07692a7ea88b8308294bd4d5d8b70c</t>
        </is>
      </c>
      <c r="B116" t="inlineStr">
        <is>
          <t>2024-04-28</t>
        </is>
      </c>
      <c r="C116" t="inlineStr">
        <is>
          <t>G4</t>
        </is>
      </c>
      <c r="D116" t="inlineStr">
        <is>
          <t>MDW</t>
        </is>
      </c>
      <c r="E116" t="inlineStr">
        <is>
          <t>PVU</t>
        </is>
      </c>
      <c r="F116" t="inlineStr">
        <is>
          <t>MDW-PVU</t>
        </is>
      </c>
      <c r="G116" t="n">
        <v>18</v>
      </c>
      <c r="H116" t="n">
        <v>1</v>
      </c>
      <c r="I116" t="n">
        <v>0.99718</v>
      </c>
      <c r="J116" t="n">
        <v>1</v>
      </c>
      <c r="K116" t="n">
        <v>103</v>
      </c>
      <c r="L116" t="inlineStr">
        <is>
          <t>projected turn slack (min)=-53 (+4.20); aircraft's latest known departure delay=103 (+0.96); inbound leg departure delay (if departed by cutoff)=103 (+0.87)</t>
        </is>
      </c>
    </row>
    <row r="117">
      <c r="A117" t="inlineStr">
        <is>
          <t>fe9da2f4152c91c1993905cd88e04a63</t>
        </is>
      </c>
      <c r="B117" t="inlineStr">
        <is>
          <t>2024-04-18</t>
        </is>
      </c>
      <c r="C117" t="inlineStr">
        <is>
          <t>WN</t>
        </is>
      </c>
      <c r="D117" t="inlineStr">
        <is>
          <t>SAN</t>
        </is>
      </c>
      <c r="E117" t="inlineStr">
        <is>
          <t>AUS</t>
        </is>
      </c>
      <c r="F117" t="inlineStr">
        <is>
          <t>SAN-AUS</t>
        </is>
      </c>
      <c r="G117" t="n">
        <v>18</v>
      </c>
      <c r="H117" t="n">
        <v>1</v>
      </c>
      <c r="I117" t="n">
        <v>0.99718</v>
      </c>
      <c r="J117" t="n">
        <v>1</v>
      </c>
      <c r="K117" t="n">
        <v>94</v>
      </c>
      <c r="L117" t="inlineStr">
        <is>
          <t>projected turn slack (min)=-54 (+3.80); aircraft's latest known departure delay=94 (+1.13); inbound leg departure delay (if departed by cutoff)=94 (+0.78)</t>
        </is>
      </c>
    </row>
    <row r="118">
      <c r="A118" t="inlineStr">
        <is>
          <t>03bffd7712f88142b9c77b4b5bfd55d0</t>
        </is>
      </c>
      <c r="B118" t="inlineStr">
        <is>
          <t>2024-04-28</t>
        </is>
      </c>
      <c r="C118" t="inlineStr">
        <is>
          <t>AA</t>
        </is>
      </c>
      <c r="D118" t="inlineStr">
        <is>
          <t>RIC</t>
        </is>
      </c>
      <c r="E118" t="inlineStr">
        <is>
          <t>DFW</t>
        </is>
      </c>
      <c r="F118" t="inlineStr">
        <is>
          <t>RIC-DFW</t>
        </is>
      </c>
      <c r="G118" t="n">
        <v>15</v>
      </c>
      <c r="H118" t="n">
        <v>1</v>
      </c>
      <c r="I118" t="n">
        <v>0.99717</v>
      </c>
      <c r="J118" t="n">
        <v>1</v>
      </c>
      <c r="K118" t="n">
        <v>92</v>
      </c>
      <c r="L118" t="inlineStr">
        <is>
          <t>projected turn slack (min)=-30 (+3.66); inbound leg departure delay (if departed by cutoff)=92 (+0.72); aircraft's latest known departure delay=92 (+0.70)</t>
        </is>
      </c>
    </row>
    <row r="119">
      <c r="A119" t="inlineStr">
        <is>
          <t>3f7328e63e45e3daf03c7edfdc9c9663</t>
        </is>
      </c>
      <c r="B119" t="inlineStr">
        <is>
          <t>2024-04-17</t>
        </is>
      </c>
      <c r="C119" t="inlineStr">
        <is>
          <t>B6</t>
        </is>
      </c>
      <c r="D119" t="inlineStr">
        <is>
          <t>JFK</t>
        </is>
      </c>
      <c r="E119" t="inlineStr">
        <is>
          <t>PSP</t>
        </is>
      </c>
      <c r="F119" t="inlineStr">
        <is>
          <t>JFK-PSP</t>
        </is>
      </c>
      <c r="G119" t="n">
        <v>16</v>
      </c>
      <c r="H119" t="n">
        <v>1</v>
      </c>
      <c r="I119" t="n">
        <v>0.99717</v>
      </c>
      <c r="J119" t="n">
        <v>1</v>
      </c>
      <c r="K119" t="n">
        <v>103</v>
      </c>
      <c r="L119" t="inlineStr">
        <is>
          <t>projected turn slack (min)=-66 (+4.01); aircraft's latest known departure delay=103 (+0.94); inbound leg departure delay (if departed by cutoff)=103 (+0.78)</t>
        </is>
      </c>
    </row>
    <row r="120">
      <c r="A120" t="inlineStr">
        <is>
          <t>5c8cd4a694cc8659a85b5b721cb1ee8e</t>
        </is>
      </c>
      <c r="B120" t="inlineStr">
        <is>
          <t>2024-04-20</t>
        </is>
      </c>
      <c r="C120" t="inlineStr">
        <is>
          <t>AA</t>
        </is>
      </c>
      <c r="D120" t="inlineStr">
        <is>
          <t>DFW</t>
        </is>
      </c>
      <c r="E120" t="inlineStr">
        <is>
          <t>LAS</t>
        </is>
      </c>
      <c r="F120" t="inlineStr">
        <is>
          <t>DFW-LAS</t>
        </is>
      </c>
      <c r="G120" t="n">
        <v>18</v>
      </c>
      <c r="H120" t="n">
        <v>1</v>
      </c>
      <c r="I120" t="n">
        <v>0.99716</v>
      </c>
      <c r="J120" t="n">
        <v>1</v>
      </c>
      <c r="K120" t="n">
        <v>96</v>
      </c>
      <c r="L120" t="inlineStr">
        <is>
          <t>projected turn slack (min)=-31 (+3.43); inbound leg departure delay (if departed by cutoff)=96 (+0.67); aircraft's latest known departure delay=96 (+0.67)</t>
        </is>
      </c>
    </row>
    <row r="121">
      <c r="A121" t="inlineStr">
        <is>
          <t>927b9e017a133f822a4ce5479ae215bc</t>
        </is>
      </c>
      <c r="B121" t="inlineStr">
        <is>
          <t>2024-04-04</t>
        </is>
      </c>
      <c r="C121" t="inlineStr">
        <is>
          <t>AS</t>
        </is>
      </c>
      <c r="D121" t="inlineStr">
        <is>
          <t>MCO</t>
        </is>
      </c>
      <c r="E121" t="inlineStr">
        <is>
          <t>SAN</t>
        </is>
      </c>
      <c r="F121" t="inlineStr">
        <is>
          <t>MCO-SAN</t>
        </is>
      </c>
      <c r="G121" t="n">
        <v>16</v>
      </c>
      <c r="H121" t="n">
        <v>1</v>
      </c>
      <c r="I121" t="n">
        <v>0.99716</v>
      </c>
      <c r="J121" t="n">
        <v>1</v>
      </c>
      <c r="K121" t="n">
        <v>125</v>
      </c>
      <c r="L121" t="inlineStr">
        <is>
          <t>projected turn slack (min)=-65 (+3.85); aircraft's latest known departure delay=125 (+0.89); inbound leg departure delay (if departed by cutoff)=125 (+0.80)</t>
        </is>
      </c>
    </row>
    <row r="122">
      <c r="A122" t="inlineStr">
        <is>
          <t>2f1eff78eb41f4c8dafa57f3aee0876d</t>
        </is>
      </c>
      <c r="B122" t="inlineStr">
        <is>
          <t>2024-04-28</t>
        </is>
      </c>
      <c r="C122" t="inlineStr">
        <is>
          <t>WN</t>
        </is>
      </c>
      <c r="D122" t="inlineStr">
        <is>
          <t>HOU</t>
        </is>
      </c>
      <c r="E122" t="inlineStr">
        <is>
          <t>DAL</t>
        </is>
      </c>
      <c r="F122" t="inlineStr">
        <is>
          <t>HOU-DAL</t>
        </is>
      </c>
      <c r="G122" t="n">
        <v>16</v>
      </c>
      <c r="H122" t="n">
        <v>1</v>
      </c>
      <c r="I122" t="n">
        <v>0.99714</v>
      </c>
      <c r="J122" t="n">
        <v>1</v>
      </c>
      <c r="K122" t="n">
        <v>91</v>
      </c>
      <c r="L122" t="inlineStr">
        <is>
          <t>projected turn slack (min)=-46 (+3.45); aircraft's latest known departure delay=91 (+0.77); inbound leg departure delay (if departed by cutoff)=91 (+0.73)</t>
        </is>
      </c>
    </row>
    <row r="123">
      <c r="A123" t="inlineStr">
        <is>
          <t>e1b502b3ff67c06e2e57bd0f708f97fa</t>
        </is>
      </c>
      <c r="B123" t="inlineStr">
        <is>
          <t>2024-04-03</t>
        </is>
      </c>
      <c r="C123" t="inlineStr">
        <is>
          <t>B6</t>
        </is>
      </c>
      <c r="D123" t="inlineStr">
        <is>
          <t>SJU</t>
        </is>
      </c>
      <c r="E123" t="inlineStr">
        <is>
          <t>FLL</t>
        </is>
      </c>
      <c r="F123" t="inlineStr">
        <is>
          <t>SJU-FLL</t>
        </is>
      </c>
      <c r="G123" t="n">
        <v>16</v>
      </c>
      <c r="H123" t="n">
        <v>1</v>
      </c>
      <c r="I123" t="n">
        <v>0.99714</v>
      </c>
      <c r="J123" t="n">
        <v>1</v>
      </c>
      <c r="K123" t="n">
        <v>103</v>
      </c>
      <c r="L123" t="inlineStr">
        <is>
          <t>projected turn slack (min)=-35 (+3.55); aircraft's latest known departure delay=103 (+0.86); inbound leg departure delay (if departed by cutoff)=103 (+0.64)</t>
        </is>
      </c>
    </row>
    <row r="124">
      <c r="A124" t="inlineStr">
        <is>
          <t>0388dda324aed8961dc8f928d93563ca</t>
        </is>
      </c>
      <c r="B124" t="inlineStr">
        <is>
          <t>2024-04-18</t>
        </is>
      </c>
      <c r="C124" t="inlineStr">
        <is>
          <t>WN</t>
        </is>
      </c>
      <c r="D124" t="inlineStr">
        <is>
          <t>DAL</t>
        </is>
      </c>
      <c r="E124" t="inlineStr">
        <is>
          <t>LAS</t>
        </is>
      </c>
      <c r="F124" t="inlineStr">
        <is>
          <t>DAL-LAS</t>
        </is>
      </c>
      <c r="G124" t="n">
        <v>20</v>
      </c>
      <c r="H124" t="n">
        <v>1</v>
      </c>
      <c r="I124" t="n">
        <v>0.99713</v>
      </c>
      <c r="J124" t="n">
        <v>1</v>
      </c>
      <c r="K124" t="n">
        <v>105</v>
      </c>
      <c r="L124" t="inlineStr">
        <is>
          <t>projected turn slack (min)=-70 (+3.73); aircraft's latest known departure delay=105 (+1.12); inbound leg departure delay (if departed by cutoff)=105 (+0.79)</t>
        </is>
      </c>
    </row>
    <row r="125">
      <c r="A125" t="inlineStr">
        <is>
          <t>c8a501a1e3c7f3dfa54fa801b187e617</t>
        </is>
      </c>
      <c r="B125" t="inlineStr">
        <is>
          <t>2024-04-28</t>
        </is>
      </c>
      <c r="C125" t="inlineStr">
        <is>
          <t>WN</t>
        </is>
      </c>
      <c r="D125" t="inlineStr">
        <is>
          <t>PHX</t>
        </is>
      </c>
      <c r="E125" t="inlineStr">
        <is>
          <t>BNA</t>
        </is>
      </c>
      <c r="F125" t="inlineStr">
        <is>
          <t>PHX-BNA</t>
        </is>
      </c>
      <c r="G125" t="n">
        <v>13</v>
      </c>
      <c r="H125" t="n">
        <v>1</v>
      </c>
      <c r="I125" t="n">
        <v>0.99713</v>
      </c>
      <c r="J125" t="n">
        <v>1</v>
      </c>
      <c r="K125" t="n">
        <v>119</v>
      </c>
      <c r="L125" t="inlineStr">
        <is>
          <t>projected turn slack (min)=-69 (+3.94); aircraft's latest known departure delay=119 (+0.99); inbound leg departure delay (if departed by cutoff)=119 (+0.83)</t>
        </is>
      </c>
    </row>
    <row r="126">
      <c r="A126" t="inlineStr">
        <is>
          <t>619f0903b935e68ee4e596c83f8e0773</t>
        </is>
      </c>
      <c r="B126" t="inlineStr">
        <is>
          <t>2024-04-11</t>
        </is>
      </c>
      <c r="C126" t="inlineStr">
        <is>
          <t>DL</t>
        </is>
      </c>
      <c r="D126" t="inlineStr">
        <is>
          <t>MIA</t>
        </is>
      </c>
      <c r="E126" t="inlineStr">
        <is>
          <t>SLC</t>
        </is>
      </c>
      <c r="F126" t="inlineStr">
        <is>
          <t>MIA-SLC</t>
        </is>
      </c>
      <c r="G126" t="n">
        <v>18</v>
      </c>
      <c r="H126" t="n">
        <v>1</v>
      </c>
      <c r="I126" t="n">
        <v>0.99712</v>
      </c>
      <c r="J126" t="n">
        <v>1</v>
      </c>
      <c r="K126" t="n">
        <v>161</v>
      </c>
      <c r="L126" t="inlineStr">
        <is>
          <t>projected turn slack (min)=-91 (+3.34); aircraft's latest known departure delay=161 (+0.88); inbound leg departure delay (if departed by cutoff)=161 (+0.74)</t>
        </is>
      </c>
    </row>
    <row r="127">
      <c r="A127" t="inlineStr">
        <is>
          <t>b2409b2fc3a5f62f98ba26abcd06120d</t>
        </is>
      </c>
      <c r="B127" t="inlineStr">
        <is>
          <t>2024-04-10</t>
        </is>
      </c>
      <c r="C127" t="inlineStr">
        <is>
          <t>AA</t>
        </is>
      </c>
      <c r="D127" t="inlineStr">
        <is>
          <t>DFW</t>
        </is>
      </c>
      <c r="E127" t="inlineStr">
        <is>
          <t>GRR</t>
        </is>
      </c>
      <c r="F127" t="inlineStr">
        <is>
          <t>DFW-GRR</t>
        </is>
      </c>
      <c r="G127" t="n">
        <v>19</v>
      </c>
      <c r="H127" t="n">
        <v>1</v>
      </c>
      <c r="I127" t="n">
        <v>0.99712</v>
      </c>
      <c r="J127" t="n">
        <v>1</v>
      </c>
      <c r="K127" t="n">
        <v>120</v>
      </c>
      <c r="L127" t="inlineStr">
        <is>
          <t>projected turn slack (min)=-58 (+3.65); inbound leg departure delay (if departed by cutoff)=120 (+0.74); aircraft's latest known departure delay=120 (+0.64)</t>
        </is>
      </c>
    </row>
    <row r="128">
      <c r="A128" t="inlineStr">
        <is>
          <t>5feab65bd3506a75fbaddc4b8c39673c</t>
        </is>
      </c>
      <c r="B128" t="inlineStr">
        <is>
          <t>2024-04-03</t>
        </is>
      </c>
      <c r="C128" t="inlineStr">
        <is>
          <t>F9</t>
        </is>
      </c>
      <c r="D128" t="inlineStr">
        <is>
          <t>BWI</t>
        </is>
      </c>
      <c r="E128" t="inlineStr">
        <is>
          <t>MIA</t>
        </is>
      </c>
      <c r="F128" t="inlineStr">
        <is>
          <t>BWI-MIA</t>
        </is>
      </c>
      <c r="G128" t="n">
        <v>17</v>
      </c>
      <c r="H128" t="n">
        <v>1</v>
      </c>
      <c r="I128" t="n">
        <v>0.9971100000000001</v>
      </c>
      <c r="J128" t="n">
        <v>1</v>
      </c>
      <c r="K128" t="n">
        <v>94</v>
      </c>
      <c r="L128" t="inlineStr">
        <is>
          <t>projected turn slack (min)=-44 (+2.43); aircraft's latest known departure delay=195 (+1.01); inbound leg overdue, not yet departed (min)=94 (+0.71)</t>
        </is>
      </c>
    </row>
    <row r="129">
      <c r="A129" t="inlineStr">
        <is>
          <t>6cf4b3df09f83f05b077f757ff9c7141</t>
        </is>
      </c>
      <c r="B129" t="inlineStr">
        <is>
          <t>2024-04-12</t>
        </is>
      </c>
      <c r="C129" t="inlineStr">
        <is>
          <t>AS</t>
        </is>
      </c>
      <c r="D129" t="inlineStr">
        <is>
          <t>BOS</t>
        </is>
      </c>
      <c r="E129" t="inlineStr">
        <is>
          <t>SFO</t>
        </is>
      </c>
      <c r="F129" t="inlineStr">
        <is>
          <t>BOS-SFO</t>
        </is>
      </c>
      <c r="G129" t="n">
        <v>18</v>
      </c>
      <c r="H129" t="n">
        <v>1</v>
      </c>
      <c r="I129" t="n">
        <v>0.9971100000000001</v>
      </c>
      <c r="J129" t="n">
        <v>1</v>
      </c>
      <c r="K129" t="n">
        <v>96</v>
      </c>
      <c r="L129" t="inlineStr">
        <is>
          <t>projected turn slack (min)=-36 (+3.54); aircraft's latest known departure delay=96 (+0.81); inbound leg departure delay (if departed by cutoff)=96 (+0.64)</t>
        </is>
      </c>
    </row>
    <row r="130">
      <c r="A130" t="inlineStr">
        <is>
          <t>776881a21953fab0268ff1bd999a9e5b</t>
        </is>
      </c>
      <c r="B130" t="inlineStr">
        <is>
          <t>2024-04-04</t>
        </is>
      </c>
      <c r="C130" t="inlineStr">
        <is>
          <t>B6</t>
        </is>
      </c>
      <c r="D130" t="inlineStr">
        <is>
          <t>HPN</t>
        </is>
      </c>
      <c r="E130" t="inlineStr">
        <is>
          <t>PBI</t>
        </is>
      </c>
      <c r="F130" t="inlineStr">
        <is>
          <t>HPN-PBI</t>
        </is>
      </c>
      <c r="G130" t="n">
        <v>17</v>
      </c>
      <c r="H130" t="n">
        <v>1</v>
      </c>
      <c r="I130" t="n">
        <v>0.9971100000000001</v>
      </c>
      <c r="J130" t="n">
        <v>1</v>
      </c>
      <c r="K130" t="n">
        <v>115</v>
      </c>
      <c r="L130" t="inlineStr">
        <is>
          <t>projected turn slack (min)=-45 (+3.84); aircraft's latest known departure delay=115 (+0.86); inbound leg departure delay (if departed by cutoff)=115 (+0.73)</t>
        </is>
      </c>
    </row>
    <row r="131">
      <c r="A131" t="inlineStr">
        <is>
          <t>7848947831a38c061ead8e56371d5e03</t>
        </is>
      </c>
      <c r="B131" t="inlineStr">
        <is>
          <t>2024-04-03</t>
        </is>
      </c>
      <c r="C131" t="inlineStr">
        <is>
          <t>B6</t>
        </is>
      </c>
      <c r="D131" t="inlineStr">
        <is>
          <t>DCA</t>
        </is>
      </c>
      <c r="E131" t="inlineStr">
        <is>
          <t>PBI</t>
        </is>
      </c>
      <c r="F131" t="inlineStr">
        <is>
          <t>DCA-PBI</t>
        </is>
      </c>
      <c r="G131" t="n">
        <v>16</v>
      </c>
      <c r="H131" t="n">
        <v>1</v>
      </c>
      <c r="I131" t="n">
        <v>0.9971</v>
      </c>
      <c r="J131" t="n">
        <v>1</v>
      </c>
      <c r="K131" t="n">
        <v>77</v>
      </c>
      <c r="L131" t="inlineStr">
        <is>
          <t>projected turn slack (min)=-31 (+2.57); aircraft's latest known departure delay=133 (+0.98); inbound leg overdue, not yet departed (min)=77 (+0.62)</t>
        </is>
      </c>
    </row>
    <row r="132">
      <c r="A132" t="inlineStr">
        <is>
          <t>46d8a969ec6802bb56447a01020c0220</t>
        </is>
      </c>
      <c r="B132" t="inlineStr">
        <is>
          <t>2024-04-12</t>
        </is>
      </c>
      <c r="C132" t="inlineStr">
        <is>
          <t>AS</t>
        </is>
      </c>
      <c r="D132" t="inlineStr">
        <is>
          <t>BOS</t>
        </is>
      </c>
      <c r="E132" t="inlineStr">
        <is>
          <t>PDX</t>
        </is>
      </c>
      <c r="F132" t="inlineStr">
        <is>
          <t>BOS-PDX</t>
        </is>
      </c>
      <c r="G132" t="n">
        <v>19</v>
      </c>
      <c r="H132" t="n">
        <v>1</v>
      </c>
      <c r="I132" t="n">
        <v>0.99709</v>
      </c>
      <c r="J132" t="n">
        <v>1</v>
      </c>
      <c r="K132" t="n">
        <v>121</v>
      </c>
      <c r="L132" t="inlineStr">
        <is>
          <t>projected turn slack (min)=-56 (+3.95); aircraft's latest known departure delay=121 (+0.85); inbound leg departure delay (if departed by cutoff)=121 (+0.80)</t>
        </is>
      </c>
    </row>
    <row r="133">
      <c r="A133" t="inlineStr">
        <is>
          <t>1c5d026ccbe02f7c33a550382a1fd2e4</t>
        </is>
      </c>
      <c r="B133" t="inlineStr">
        <is>
          <t>2024-04-11</t>
        </is>
      </c>
      <c r="C133" t="inlineStr">
        <is>
          <t>UA</t>
        </is>
      </c>
      <c r="D133" t="inlineStr">
        <is>
          <t>MIA</t>
        </is>
      </c>
      <c r="E133" t="inlineStr">
        <is>
          <t>SFO</t>
        </is>
      </c>
      <c r="F133" t="inlineStr">
        <is>
          <t>MIA-SFO</t>
        </is>
      </c>
      <c r="G133" t="n">
        <v>18</v>
      </c>
      <c r="H133" t="n">
        <v>1</v>
      </c>
      <c r="I133" t="n">
        <v>0.99708</v>
      </c>
      <c r="J133" t="n">
        <v>1</v>
      </c>
      <c r="K133" t="n">
        <v>162</v>
      </c>
      <c r="L133" t="inlineStr">
        <is>
          <t>projected turn slack (min)=-87 (+3.21); aircraft's latest known departure delay=162 (+0.68); inbound leg departure delay (if departed by cutoff)=162 (+0.56)</t>
        </is>
      </c>
    </row>
    <row r="134">
      <c r="A134" t="inlineStr">
        <is>
          <t>432a64d1fdfd10bcc822a1d527bbc31f</t>
        </is>
      </c>
      <c r="B134" t="inlineStr">
        <is>
          <t>2024-04-28</t>
        </is>
      </c>
      <c r="C134" t="inlineStr">
        <is>
          <t>AS</t>
        </is>
      </c>
      <c r="D134" t="inlineStr">
        <is>
          <t>SFO</t>
        </is>
      </c>
      <c r="E134" t="inlineStr">
        <is>
          <t>IAD</t>
        </is>
      </c>
      <c r="F134" t="inlineStr">
        <is>
          <t>SFO-IAD</t>
        </is>
      </c>
      <c r="G134" t="n">
        <v>21</v>
      </c>
      <c r="H134" t="n">
        <v>1</v>
      </c>
      <c r="I134" t="n">
        <v>0.99708</v>
      </c>
      <c r="J134" t="n">
        <v>1</v>
      </c>
      <c r="K134" t="n">
        <v>91</v>
      </c>
      <c r="L134" t="inlineStr">
        <is>
          <t>projected turn slack (min)=-43 (+4.11); aircraft's latest known departure delay=91 (+0.92); inbound leg departure delay (if departed by cutoff)=91 (+0.86)</t>
        </is>
      </c>
    </row>
    <row r="135">
      <c r="A135" t="inlineStr">
        <is>
          <t>afc32d83a705d85d5d64211213226a56</t>
        </is>
      </c>
      <c r="B135" t="inlineStr">
        <is>
          <t>2024-04-03</t>
        </is>
      </c>
      <c r="C135" t="inlineStr">
        <is>
          <t>UA</t>
        </is>
      </c>
      <c r="D135" t="inlineStr">
        <is>
          <t>TPA</t>
        </is>
      </c>
      <c r="E135" t="inlineStr">
        <is>
          <t>SFO</t>
        </is>
      </c>
      <c r="F135" t="inlineStr">
        <is>
          <t>TPA-SFO</t>
        </is>
      </c>
      <c r="G135" t="n">
        <v>18</v>
      </c>
      <c r="H135" t="n">
        <v>1</v>
      </c>
      <c r="I135" t="n">
        <v>0.99707</v>
      </c>
      <c r="J135" t="n">
        <v>1</v>
      </c>
      <c r="K135" t="n">
        <v>147</v>
      </c>
      <c r="L135" t="inlineStr">
        <is>
          <t>projected turn slack (min)=-81 (+3.37); aircraft's latest known departure delay=147 (+0.76); inbound leg departure delay (if departed by cutoff)=147 (+0.60)</t>
        </is>
      </c>
    </row>
    <row r="136">
      <c r="A136" t="inlineStr">
        <is>
          <t>3cf1dc3326a078ef4ef3c2945bd08ba2</t>
        </is>
      </c>
      <c r="B136" t="inlineStr">
        <is>
          <t>2024-04-11</t>
        </is>
      </c>
      <c r="C136" t="inlineStr">
        <is>
          <t>B6</t>
        </is>
      </c>
      <c r="D136" t="inlineStr">
        <is>
          <t>MCO</t>
        </is>
      </c>
      <c r="E136" t="inlineStr">
        <is>
          <t>LGA</t>
        </is>
      </c>
      <c r="F136" t="inlineStr">
        <is>
          <t>MCO-LGA</t>
        </is>
      </c>
      <c r="G136" t="n">
        <v>17</v>
      </c>
      <c r="H136" t="n">
        <v>1</v>
      </c>
      <c r="I136" t="n">
        <v>0.9970599999999999</v>
      </c>
      <c r="J136" t="n">
        <v>1</v>
      </c>
      <c r="K136" t="n">
        <v>82</v>
      </c>
      <c r="L136" t="inlineStr">
        <is>
          <t>projected turn slack (min)=-37 (+3.32); aircraft's latest known departure delay=82 (+0.67); inbound leg departure delay (if departed by cutoff)=82 (+0.67)</t>
        </is>
      </c>
    </row>
    <row r="137">
      <c r="A137" t="inlineStr">
        <is>
          <t>46bc1210a8c276cbd71bf070bdd38879</t>
        </is>
      </c>
      <c r="B137" t="inlineStr">
        <is>
          <t>2024-04-12</t>
        </is>
      </c>
      <c r="C137" t="inlineStr">
        <is>
          <t>AA</t>
        </is>
      </c>
      <c r="D137" t="inlineStr">
        <is>
          <t>SFO</t>
        </is>
      </c>
      <c r="E137" t="inlineStr">
        <is>
          <t>MIA</t>
        </is>
      </c>
      <c r="F137" t="inlineStr">
        <is>
          <t>SFO-MIA</t>
        </is>
      </c>
      <c r="G137" t="n">
        <v>21</v>
      </c>
      <c r="H137" t="n">
        <v>1</v>
      </c>
      <c r="I137" t="n">
        <v>0.9970599999999999</v>
      </c>
      <c r="J137" t="n">
        <v>1</v>
      </c>
      <c r="K137" t="n">
        <v>122</v>
      </c>
      <c r="L137" t="inlineStr">
        <is>
          <t>projected turn slack (min)=-58 (+3.85); aircraft's latest known departure delay=122 (+0.88); inbound leg departure delay (if departed by cutoff)=122 (+0.82)</t>
        </is>
      </c>
    </row>
    <row r="138">
      <c r="A138" t="inlineStr">
        <is>
          <t>628f0836c0a493ce25f478a96208eb62</t>
        </is>
      </c>
      <c r="B138" t="inlineStr">
        <is>
          <t>2024-04-21</t>
        </is>
      </c>
      <c r="C138" t="inlineStr">
        <is>
          <t>B6</t>
        </is>
      </c>
      <c r="D138" t="inlineStr">
        <is>
          <t>PBI</t>
        </is>
      </c>
      <c r="E138" t="inlineStr">
        <is>
          <t>JFK</t>
        </is>
      </c>
      <c r="F138" t="inlineStr">
        <is>
          <t>PBI-JFK</t>
        </is>
      </c>
      <c r="G138" t="n">
        <v>18</v>
      </c>
      <c r="H138" t="n">
        <v>1</v>
      </c>
      <c r="I138" t="n">
        <v>0.9970599999999999</v>
      </c>
      <c r="J138" t="n">
        <v>1</v>
      </c>
      <c r="K138" t="n">
        <v>89</v>
      </c>
      <c r="L138" t="inlineStr">
        <is>
          <t>projected turn slack (min)=-44 (+3.92); aircraft's latest known departure delay=89 (+0.83); inbound leg departure delay (if departed by cutoff)=89 (+0.77)</t>
        </is>
      </c>
    </row>
    <row r="139">
      <c r="A139" t="inlineStr">
        <is>
          <t>7269ebdf4785e80a5005bdbd969fbde6</t>
        </is>
      </c>
      <c r="B139" t="inlineStr">
        <is>
          <t>2024-04-26</t>
        </is>
      </c>
      <c r="C139" t="inlineStr">
        <is>
          <t>AA</t>
        </is>
      </c>
      <c r="D139" t="inlineStr">
        <is>
          <t>RNO</t>
        </is>
      </c>
      <c r="E139" t="inlineStr">
        <is>
          <t>DFW</t>
        </is>
      </c>
      <c r="F139" t="inlineStr">
        <is>
          <t>RNO-DFW</t>
        </is>
      </c>
      <c r="G139" t="n">
        <v>14</v>
      </c>
      <c r="H139" t="n">
        <v>1</v>
      </c>
      <c r="I139" t="n">
        <v>0.9970599999999999</v>
      </c>
      <c r="J139" t="n">
        <v>1</v>
      </c>
      <c r="K139" t="n">
        <v>102</v>
      </c>
      <c r="L139" t="inlineStr">
        <is>
          <t>projected turn slack (min)=-51 (+3.67); aircraft's latest known departure delay=102 (+0.94); inbound leg departure delay (if departed by cutoff)=102 (+0.68)</t>
        </is>
      </c>
    </row>
    <row r="140">
      <c r="A140" t="inlineStr">
        <is>
          <t>eeab119ad0ad2600270e74021feb7d33</t>
        </is>
      </c>
      <c r="B140" t="inlineStr">
        <is>
          <t>2024-04-05</t>
        </is>
      </c>
      <c r="C140" t="inlineStr">
        <is>
          <t>F9</t>
        </is>
      </c>
      <c r="D140" t="inlineStr">
        <is>
          <t>IAH</t>
        </is>
      </c>
      <c r="E140" t="inlineStr">
        <is>
          <t>LAS</t>
        </is>
      </c>
      <c r="F140" t="inlineStr">
        <is>
          <t>IAH-LAS</t>
        </is>
      </c>
      <c r="G140" t="n">
        <v>15</v>
      </c>
      <c r="H140" t="n">
        <v>1</v>
      </c>
      <c r="I140" t="n">
        <v>0.99705</v>
      </c>
      <c r="J140" t="n">
        <v>1</v>
      </c>
      <c r="K140" t="n">
        <v>105</v>
      </c>
      <c r="L140" t="inlineStr">
        <is>
          <t>projected turn slack (min)=-55 (+4.02); aircraft's latest known departure delay=105 (+1.01); inbound leg departure delay (if departed by cutoff)=105 (+0.77)</t>
        </is>
      </c>
    </row>
    <row r="141">
      <c r="A141" t="inlineStr">
        <is>
          <t>0389cfccb5a34b4563a15497f1897fdd</t>
        </is>
      </c>
      <c r="B141" t="inlineStr">
        <is>
          <t>2024-04-11</t>
        </is>
      </c>
      <c r="C141" t="inlineStr">
        <is>
          <t>DL</t>
        </is>
      </c>
      <c r="D141" t="inlineStr">
        <is>
          <t>MCO</t>
        </is>
      </c>
      <c r="E141" t="inlineStr">
        <is>
          <t>MSP</t>
        </is>
      </c>
      <c r="F141" t="inlineStr">
        <is>
          <t>MCO-MSP</t>
        </is>
      </c>
      <c r="G141" t="n">
        <v>16</v>
      </c>
      <c r="H141" t="n">
        <v>1</v>
      </c>
      <c r="I141" t="n">
        <v>0.99704</v>
      </c>
      <c r="J141" t="n">
        <v>1</v>
      </c>
      <c r="K141" t="n">
        <v>150</v>
      </c>
      <c r="L141" t="inlineStr">
        <is>
          <t>projected turn slack (min)=-62 (+3.47); inbound leg departure delay (if departed by cutoff)=150 (+0.64); aircraft's latest known departure delay=150 (+0.58)</t>
        </is>
      </c>
    </row>
    <row r="142">
      <c r="A142" t="inlineStr">
        <is>
          <t>70245f2a63829e11d7df7dbc27eda2fe</t>
        </is>
      </c>
      <c r="B142" t="inlineStr">
        <is>
          <t>2024-04-29</t>
        </is>
      </c>
      <c r="C142" t="inlineStr">
        <is>
          <t>B6</t>
        </is>
      </c>
      <c r="D142" t="inlineStr">
        <is>
          <t>MCO</t>
        </is>
      </c>
      <c r="E142" t="inlineStr">
        <is>
          <t>BOS</t>
        </is>
      </c>
      <c r="F142" t="inlineStr">
        <is>
          <t>MCO-BOS</t>
        </is>
      </c>
      <c r="G142" t="n">
        <v>16</v>
      </c>
      <c r="H142" t="n">
        <v>1</v>
      </c>
      <c r="I142" t="n">
        <v>0.99704</v>
      </c>
      <c r="J142" t="n">
        <v>1</v>
      </c>
      <c r="K142" t="n">
        <v>110</v>
      </c>
      <c r="L142" t="inlineStr">
        <is>
          <t>projected turn slack (min)=-49 (+4.22); aircraft's latest known departure delay=110 (+0.94); inbound leg departure delay (if departed by cutoff)=110 (+0.82)</t>
        </is>
      </c>
    </row>
    <row r="143">
      <c r="A143" t="inlineStr">
        <is>
          <t>4d9afe4ae00a954ea25caabc93bb1a9c</t>
        </is>
      </c>
      <c r="B143" t="inlineStr">
        <is>
          <t>2024-04-26</t>
        </is>
      </c>
      <c r="C143" t="inlineStr">
        <is>
          <t>F9</t>
        </is>
      </c>
      <c r="D143" t="inlineStr">
        <is>
          <t>LAX</t>
        </is>
      </c>
      <c r="E143" t="inlineStr">
        <is>
          <t>DFW</t>
        </is>
      </c>
      <c r="F143" t="inlineStr">
        <is>
          <t>LAX-DFW</t>
        </is>
      </c>
      <c r="G143" t="n">
        <v>22</v>
      </c>
      <c r="H143" t="n">
        <v>1</v>
      </c>
      <c r="I143" t="n">
        <v>0.99703</v>
      </c>
      <c r="J143" t="n">
        <v>1</v>
      </c>
      <c r="K143" t="n">
        <v>121</v>
      </c>
      <c r="L143" t="inlineStr">
        <is>
          <t>projected turn slack (min)=-71 (+3.83); aircraft's latest known departure delay=121 (+1.05); inbound leg departure delay (if departed by cutoff)=121 (+0.71)</t>
        </is>
      </c>
    </row>
    <row r="144">
      <c r="A144" t="inlineStr">
        <is>
          <t>741012a50a2a1bcb1490bd71e4d4436b</t>
        </is>
      </c>
      <c r="B144" t="inlineStr">
        <is>
          <t>2024-04-04</t>
        </is>
      </c>
      <c r="C144" t="inlineStr">
        <is>
          <t>WN</t>
        </is>
      </c>
      <c r="D144" t="inlineStr">
        <is>
          <t>BOS</t>
        </is>
      </c>
      <c r="E144" t="inlineStr">
        <is>
          <t>STL</t>
        </is>
      </c>
      <c r="F144" t="inlineStr">
        <is>
          <t>BOS-STL</t>
        </is>
      </c>
      <c r="G144" t="n">
        <v>19</v>
      </c>
      <c r="H144" t="n">
        <v>1</v>
      </c>
      <c r="I144" t="n">
        <v>0.99703</v>
      </c>
      <c r="J144" t="n">
        <v>1</v>
      </c>
      <c r="K144" t="n">
        <v>109</v>
      </c>
      <c r="L144" t="inlineStr">
        <is>
          <t>projected turn slack (min)=-54 (+3.67); aircraft's latest known departure delay=109 (+0.85); inbound leg departure delay (if departed by cutoff)=109 (+0.74)</t>
        </is>
      </c>
    </row>
    <row r="145">
      <c r="A145" t="inlineStr">
        <is>
          <t>8adad58fcc585fa14e77a5593a3eddac</t>
        </is>
      </c>
      <c r="B145" t="inlineStr">
        <is>
          <t>2024-04-05</t>
        </is>
      </c>
      <c r="C145" t="inlineStr">
        <is>
          <t>NK</t>
        </is>
      </c>
      <c r="D145" t="inlineStr">
        <is>
          <t>EWR</t>
        </is>
      </c>
      <c r="E145" t="inlineStr">
        <is>
          <t>MIA</t>
        </is>
      </c>
      <c r="F145" t="inlineStr">
        <is>
          <t>EWR-MIA</t>
        </is>
      </c>
      <c r="G145" t="n">
        <v>17</v>
      </c>
      <c r="H145" t="n">
        <v>1</v>
      </c>
      <c r="I145" t="n">
        <v>0.99703</v>
      </c>
      <c r="J145" t="n">
        <v>1</v>
      </c>
      <c r="K145" t="n">
        <v>109</v>
      </c>
      <c r="L145" t="inlineStr">
        <is>
          <t>projected turn slack (min)=-57 (+3.85); aircraft's latest known departure delay=109 (+0.85); inbound leg departure delay (if departed by cutoff)=109 (+0.83)</t>
        </is>
      </c>
    </row>
    <row r="146">
      <c r="A146" t="inlineStr">
        <is>
          <t>95df0987caf58ff9c638a6f61256e59a</t>
        </is>
      </c>
      <c r="B146" t="inlineStr">
        <is>
          <t>2024-04-18</t>
        </is>
      </c>
      <c r="C146" t="inlineStr">
        <is>
          <t>WN</t>
        </is>
      </c>
      <c r="D146" t="inlineStr">
        <is>
          <t>STL</t>
        </is>
      </c>
      <c r="E146" t="inlineStr">
        <is>
          <t>HOU</t>
        </is>
      </c>
      <c r="F146" t="inlineStr">
        <is>
          <t>STL-HOU</t>
        </is>
      </c>
      <c r="G146" t="n">
        <v>15</v>
      </c>
      <c r="H146" t="n">
        <v>1</v>
      </c>
      <c r="I146" t="n">
        <v>0.99703</v>
      </c>
      <c r="J146" t="n">
        <v>1</v>
      </c>
      <c r="K146" t="n">
        <v>96</v>
      </c>
      <c r="L146" t="inlineStr">
        <is>
          <t>projected turn slack (min)=-51 (+3.60); aircraft's latest known departure delay=96 (+1.13); inbound leg departure delay (if departed by cutoff)=96 (+0.72)</t>
        </is>
      </c>
    </row>
    <row r="147">
      <c r="A147" t="inlineStr">
        <is>
          <t>f522a56a056e41ac35fb2b6bda965792</t>
        </is>
      </c>
      <c r="B147" t="inlineStr">
        <is>
          <t>2024-04-25</t>
        </is>
      </c>
      <c r="C147" t="inlineStr">
        <is>
          <t>F9</t>
        </is>
      </c>
      <c r="D147" t="inlineStr">
        <is>
          <t>SFO</t>
        </is>
      </c>
      <c r="E147" t="inlineStr">
        <is>
          <t>DEN</t>
        </is>
      </c>
      <c r="F147" t="inlineStr">
        <is>
          <t>SFO-DEN</t>
        </is>
      </c>
      <c r="G147" t="n">
        <v>16</v>
      </c>
      <c r="H147" t="n">
        <v>1</v>
      </c>
      <c r="I147" t="n">
        <v>0.99703</v>
      </c>
      <c r="J147" t="n">
        <v>1</v>
      </c>
      <c r="K147" t="n">
        <v>89</v>
      </c>
      <c r="L147" t="inlineStr">
        <is>
          <t>projected turn slack (min)=-28 (+3.78); aircraft's latest known departure delay=89 (+0.75); inbound leg departure delay (if departed by cutoff)=89 (+0.74)</t>
        </is>
      </c>
    </row>
    <row r="148">
      <c r="A148" t="inlineStr">
        <is>
          <t>25e730607708e217b1a5c5c1b3e9d2c7</t>
        </is>
      </c>
      <c r="B148" t="inlineStr">
        <is>
          <t>2024-04-22</t>
        </is>
      </c>
      <c r="C148" t="inlineStr">
        <is>
          <t>AS</t>
        </is>
      </c>
      <c r="D148" t="inlineStr">
        <is>
          <t>SEA</t>
        </is>
      </c>
      <c r="E148" t="inlineStr">
        <is>
          <t>SFO</t>
        </is>
      </c>
      <c r="F148" t="inlineStr">
        <is>
          <t>SEA-SFO</t>
        </is>
      </c>
      <c r="G148" t="n">
        <v>18</v>
      </c>
      <c r="H148" t="n">
        <v>1</v>
      </c>
      <c r="I148" t="n">
        <v>0.99702</v>
      </c>
      <c r="J148" t="n">
        <v>1</v>
      </c>
      <c r="K148" t="n">
        <v>114</v>
      </c>
      <c r="L148" t="inlineStr">
        <is>
          <t>projected turn slack (min)=-53 (+3.71); aircraft's latest known departure delay=114 (+0.85); inbound leg departure delay (if departed by cutoff)=114 (+0.75)</t>
        </is>
      </c>
    </row>
    <row r="149">
      <c r="A149" t="inlineStr">
        <is>
          <t>057c2cc8f73233aa8aa83db65ed34db0</t>
        </is>
      </c>
      <c r="B149" t="inlineStr">
        <is>
          <t>2024-04-12</t>
        </is>
      </c>
      <c r="C149" t="inlineStr">
        <is>
          <t>DL</t>
        </is>
      </c>
      <c r="D149" t="inlineStr">
        <is>
          <t>SFO</t>
        </is>
      </c>
      <c r="E149" t="inlineStr">
        <is>
          <t>BOS</t>
        </is>
      </c>
      <c r="F149" t="inlineStr">
        <is>
          <t>SFO-BOS</t>
        </is>
      </c>
      <c r="G149" t="n">
        <v>22</v>
      </c>
      <c r="H149" t="n">
        <v>1</v>
      </c>
      <c r="I149" t="n">
        <v>0.99701</v>
      </c>
      <c r="J149" t="n">
        <v>1</v>
      </c>
      <c r="K149" t="n">
        <v>119</v>
      </c>
      <c r="L149" t="inlineStr">
        <is>
          <t>projected turn slack (min)=-49 (+3.80); inbound leg departure delay (if departed by cutoff)=119 (+0.80); aircraft's latest known departure delay=119 (+0.74)</t>
        </is>
      </c>
    </row>
    <row r="150">
      <c r="A150" t="inlineStr">
        <is>
          <t>7d10e770a52db4403668085800d70196</t>
        </is>
      </c>
      <c r="B150" t="inlineStr">
        <is>
          <t>2024-04-12</t>
        </is>
      </c>
      <c r="C150" t="inlineStr">
        <is>
          <t>B6</t>
        </is>
      </c>
      <c r="D150" t="inlineStr">
        <is>
          <t>FLL</t>
        </is>
      </c>
      <c r="E150" t="inlineStr">
        <is>
          <t>LGA</t>
        </is>
      </c>
      <c r="F150" t="inlineStr">
        <is>
          <t>FLL-LGA</t>
        </is>
      </c>
      <c r="G150" t="n">
        <v>18</v>
      </c>
      <c r="H150" t="n">
        <v>1</v>
      </c>
      <c r="I150" t="n">
        <v>0.997</v>
      </c>
      <c r="J150" t="n">
        <v>1</v>
      </c>
      <c r="K150" t="n">
        <v>101</v>
      </c>
      <c r="L150" t="inlineStr">
        <is>
          <t>projected turn slack (min)=-45 (+3.64); aircraft's latest known departure delay=101 (+0.91); inbound leg departure delay (if departed by cutoff)=101 (+0.71)</t>
        </is>
      </c>
    </row>
    <row r="151">
      <c r="A151" t="inlineStr">
        <is>
          <t>2c1bf879445998afe6914fdec9ab0407</t>
        </is>
      </c>
      <c r="B151" t="inlineStr">
        <is>
          <t>2024-04-05</t>
        </is>
      </c>
      <c r="C151" t="inlineStr">
        <is>
          <t>B6</t>
        </is>
      </c>
      <c r="D151" t="inlineStr">
        <is>
          <t>EWR</t>
        </is>
      </c>
      <c r="E151" t="inlineStr">
        <is>
          <t>TPA</t>
        </is>
      </c>
      <c r="F151" t="inlineStr">
        <is>
          <t>EWR-TPA</t>
        </is>
      </c>
      <c r="G151" t="n">
        <v>14</v>
      </c>
      <c r="H151" t="n">
        <v>1</v>
      </c>
      <c r="I151" t="n">
        <v>0.99699</v>
      </c>
      <c r="J151" t="n">
        <v>1</v>
      </c>
      <c r="K151" t="n">
        <v>89</v>
      </c>
      <c r="L151" t="inlineStr">
        <is>
          <t>projected turn slack (min)=-44 (+3.91); aircraft's latest known departure delay=89 (+0.83); inbound leg departure delay (if departed by cutoff)=89 (+0.77)</t>
        </is>
      </c>
    </row>
    <row r="152">
      <c r="A152" t="inlineStr">
        <is>
          <t>7cd59cbf721d48be7bca6e9fde6b7d43</t>
        </is>
      </c>
      <c r="B152" t="inlineStr">
        <is>
          <t>2024-04-04</t>
        </is>
      </c>
      <c r="C152" t="inlineStr">
        <is>
          <t>B6</t>
        </is>
      </c>
      <c r="D152" t="inlineStr">
        <is>
          <t>BOS</t>
        </is>
      </c>
      <c r="E152" t="inlineStr">
        <is>
          <t>SJU</t>
        </is>
      </c>
      <c r="F152" t="inlineStr">
        <is>
          <t>BOS-SJU</t>
        </is>
      </c>
      <c r="G152" t="n">
        <v>15</v>
      </c>
      <c r="H152" t="n">
        <v>1</v>
      </c>
      <c r="I152" t="n">
        <v>0.99699</v>
      </c>
      <c r="J152" t="n">
        <v>1</v>
      </c>
      <c r="K152" t="n">
        <v>124</v>
      </c>
      <c r="L152" t="inlineStr">
        <is>
          <t>projected turn slack (min)=-64 (+3.55); aircraft's latest known departure delay=124 (+0.72); inbound leg departure delay (if departed by cutoff)=124 (+0.68)</t>
        </is>
      </c>
    </row>
    <row r="153">
      <c r="A153" t="inlineStr">
        <is>
          <t>bfbba7029eec986933eb3140ad9aef04</t>
        </is>
      </c>
      <c r="B153" t="inlineStr">
        <is>
          <t>2024-04-26</t>
        </is>
      </c>
      <c r="C153" t="inlineStr">
        <is>
          <t>AA</t>
        </is>
      </c>
      <c r="D153" t="inlineStr">
        <is>
          <t>SAN</t>
        </is>
      </c>
      <c r="E153" t="inlineStr">
        <is>
          <t>DFW</t>
        </is>
      </c>
      <c r="F153" t="inlineStr">
        <is>
          <t>SAN-DFW</t>
        </is>
      </c>
      <c r="G153" t="n">
        <v>14</v>
      </c>
      <c r="H153" t="n">
        <v>1</v>
      </c>
      <c r="I153" t="n">
        <v>0.99699</v>
      </c>
      <c r="J153" t="n">
        <v>1</v>
      </c>
      <c r="K153" t="n">
        <v>94</v>
      </c>
      <c r="L153" t="inlineStr">
        <is>
          <t>projected turn slack (min)=-30 (+3.61); aircraft's latest known departure delay=94 (+0.88); inbound leg departure delay (if departed by cutoff)=94 (+0.74)</t>
        </is>
      </c>
    </row>
    <row r="154">
      <c r="A154" t="inlineStr">
        <is>
          <t>ed9d6258080be21b438298f27251fe68</t>
        </is>
      </c>
      <c r="B154" t="inlineStr">
        <is>
          <t>2024-04-20</t>
        </is>
      </c>
      <c r="C154" t="inlineStr">
        <is>
          <t>DL</t>
        </is>
      </c>
      <c r="D154" t="inlineStr">
        <is>
          <t>MCO</t>
        </is>
      </c>
      <c r="E154" t="inlineStr">
        <is>
          <t>LAX</t>
        </is>
      </c>
      <c r="F154" t="inlineStr">
        <is>
          <t>MCO-LAX</t>
        </is>
      </c>
      <c r="G154" t="n">
        <v>16</v>
      </c>
      <c r="H154" t="n">
        <v>1</v>
      </c>
      <c r="I154" t="n">
        <v>0.99699</v>
      </c>
      <c r="J154" t="n">
        <v>1</v>
      </c>
      <c r="K154" t="n">
        <v>104</v>
      </c>
      <c r="L154" t="inlineStr">
        <is>
          <t>projected turn slack (min)=-34 (+4.02); aircraft's latest known departure delay=104 (+0.85); inbound leg departure delay (if departed by cutoff)=104 (+0.76)</t>
        </is>
      </c>
    </row>
    <row r="155">
      <c r="A155" t="inlineStr">
        <is>
          <t>d0795354dcd3b72cfefc6ae83f444e0a</t>
        </is>
      </c>
      <c r="B155" t="inlineStr">
        <is>
          <t>2024-04-11</t>
        </is>
      </c>
      <c r="C155" t="inlineStr">
        <is>
          <t>UA</t>
        </is>
      </c>
      <c r="D155" t="inlineStr">
        <is>
          <t>FLL</t>
        </is>
      </c>
      <c r="E155" t="inlineStr">
        <is>
          <t>EWR</t>
        </is>
      </c>
      <c r="F155" t="inlineStr">
        <is>
          <t>FLL-EWR</t>
        </is>
      </c>
      <c r="G155" t="n">
        <v>20</v>
      </c>
      <c r="H155" t="n">
        <v>1</v>
      </c>
      <c r="I155" t="n">
        <v>0.99696</v>
      </c>
      <c r="J155" t="n">
        <v>1</v>
      </c>
      <c r="K155" t="n">
        <v>126</v>
      </c>
      <c r="L155" t="inlineStr">
        <is>
          <t>projected turn slack (min)=-62 (+3.40); aircraft's latest known departure delay=126 (+0.72); inbound leg departure delay (if departed by cutoff)=126 (+0.64)</t>
        </is>
      </c>
    </row>
    <row r="156">
      <c r="A156" t="inlineStr">
        <is>
          <t>1042585d803ff58e18a168b444f3593e</t>
        </is>
      </c>
      <c r="B156" t="inlineStr">
        <is>
          <t>2024-04-11</t>
        </is>
      </c>
      <c r="C156" t="inlineStr">
        <is>
          <t>WN</t>
        </is>
      </c>
      <c r="D156" t="inlineStr">
        <is>
          <t>FLL</t>
        </is>
      </c>
      <c r="E156" t="inlineStr">
        <is>
          <t>BWI</t>
        </is>
      </c>
      <c r="F156" t="inlineStr">
        <is>
          <t>FLL-BWI</t>
        </is>
      </c>
      <c r="G156" t="n">
        <v>20</v>
      </c>
      <c r="H156" t="n">
        <v>1</v>
      </c>
      <c r="I156" t="n">
        <v>0.99695</v>
      </c>
      <c r="J156" t="n">
        <v>1</v>
      </c>
      <c r="K156" t="n">
        <v>73</v>
      </c>
      <c r="L156" t="inlineStr">
        <is>
          <t>projected turn slack (min)=-28 (+3.18); inbound leg departure delay (if departed by cutoff)=73 (+0.67); aircraft's latest known departure delay=73 (+0.65)</t>
        </is>
      </c>
    </row>
    <row r="157">
      <c r="A157" t="inlineStr">
        <is>
          <t>2e98b1d8da23b500fc1abe4f434ddabf</t>
        </is>
      </c>
      <c r="B157" t="inlineStr">
        <is>
          <t>2024-04-18</t>
        </is>
      </c>
      <c r="C157" t="inlineStr">
        <is>
          <t>WN</t>
        </is>
      </c>
      <c r="D157" t="inlineStr">
        <is>
          <t>LAX</t>
        </is>
      </c>
      <c r="E157" t="inlineStr">
        <is>
          <t>OAK</t>
        </is>
      </c>
      <c r="F157" t="inlineStr">
        <is>
          <t>LAX-OAK</t>
        </is>
      </c>
      <c r="G157" t="n">
        <v>16</v>
      </c>
      <c r="H157" t="n">
        <v>1</v>
      </c>
      <c r="I157" t="n">
        <v>0.99695</v>
      </c>
      <c r="J157" t="n">
        <v>1</v>
      </c>
      <c r="K157" t="n">
        <v>94</v>
      </c>
      <c r="L157" t="inlineStr">
        <is>
          <t>projected turn slack (min)=-49 (+3.88); aircraft's latest known departure delay=94 (+1.17); inbound leg departure delay (if departed by cutoff)=94 (+0.78)</t>
        </is>
      </c>
    </row>
    <row r="158">
      <c r="A158" t="inlineStr">
        <is>
          <t>31a74317c7951aea7b72c33eaa8b0fe4</t>
        </is>
      </c>
      <c r="B158" t="inlineStr">
        <is>
          <t>2024-04-11</t>
        </is>
      </c>
      <c r="C158" t="inlineStr">
        <is>
          <t>DL</t>
        </is>
      </c>
      <c r="D158" t="inlineStr">
        <is>
          <t>BOS</t>
        </is>
      </c>
      <c r="E158" t="inlineStr">
        <is>
          <t>TPA</t>
        </is>
      </c>
      <c r="F158" t="inlineStr">
        <is>
          <t>BOS-TPA</t>
        </is>
      </c>
      <c r="G158" t="n">
        <v>20</v>
      </c>
      <c r="H158" t="n">
        <v>1</v>
      </c>
      <c r="I158" t="n">
        <v>0.99693</v>
      </c>
      <c r="J158" t="n">
        <v>1</v>
      </c>
      <c r="K158" t="n">
        <v>124</v>
      </c>
      <c r="L158" t="inlineStr">
        <is>
          <t>projected turn slack (min)=-59 (+3.48); inbound leg departure delay (if departed by cutoff)=124 (+0.73); aircraft's latest known departure delay=124 (+0.68)</t>
        </is>
      </c>
    </row>
    <row r="159">
      <c r="A159" t="inlineStr">
        <is>
          <t>9b9afb391716fc952bab2dd1fb1ad46d</t>
        </is>
      </c>
      <c r="B159" t="inlineStr">
        <is>
          <t>2024-04-03</t>
        </is>
      </c>
      <c r="C159" t="inlineStr">
        <is>
          <t>F9</t>
        </is>
      </c>
      <c r="D159" t="inlineStr">
        <is>
          <t>MIA</t>
        </is>
      </c>
      <c r="E159" t="inlineStr">
        <is>
          <t>DFW</t>
        </is>
      </c>
      <c r="F159" t="inlineStr">
        <is>
          <t>MIA-DFW</t>
        </is>
      </c>
      <c r="G159" t="n">
        <v>22</v>
      </c>
      <c r="H159" t="n">
        <v>1</v>
      </c>
      <c r="I159" t="n">
        <v>0.99693</v>
      </c>
      <c r="J159" t="n">
        <v>1</v>
      </c>
      <c r="K159" t="n">
        <v>102</v>
      </c>
      <c r="L159" t="inlineStr">
        <is>
          <t>projected turn slack (min)=-52 (+3.69); aircraft's latest known departure delay=102 (+0.81); inbound leg departure delay (if departed by cutoff)=102 (+0.80)</t>
        </is>
      </c>
    </row>
    <row r="160">
      <c r="A160" t="inlineStr">
        <is>
          <t>43f29ba8171ac532c1684fe44ddf3e32</t>
        </is>
      </c>
      <c r="B160" t="inlineStr">
        <is>
          <t>2024-04-03</t>
        </is>
      </c>
      <c r="C160" t="inlineStr">
        <is>
          <t>F9</t>
        </is>
      </c>
      <c r="D160" t="inlineStr">
        <is>
          <t>TTN</t>
        </is>
      </c>
      <c r="E160" t="inlineStr">
        <is>
          <t>FLL</t>
        </is>
      </c>
      <c r="F160" t="inlineStr">
        <is>
          <t>TTN-FLL</t>
        </is>
      </c>
      <c r="G160" t="n">
        <v>17</v>
      </c>
      <c r="H160" t="n">
        <v>1</v>
      </c>
      <c r="I160" t="n">
        <v>0.99691</v>
      </c>
      <c r="J160" t="n">
        <v>1</v>
      </c>
      <c r="K160" t="n">
        <v>102</v>
      </c>
      <c r="L160" t="inlineStr">
        <is>
          <t>projected turn slack (min)=-57 (+2.49); aircraft's latest known departure delay=230 (+0.98); inbound leg overdue, not yet departed (min)=102 (+0.72)</t>
        </is>
      </c>
    </row>
    <row r="161">
      <c r="A161" t="inlineStr">
        <is>
          <t>bba41e2c9540c549efcebd9039d2bb61</t>
        </is>
      </c>
      <c r="B161" t="inlineStr">
        <is>
          <t>2024-04-03</t>
        </is>
      </c>
      <c r="C161" t="inlineStr">
        <is>
          <t>NK</t>
        </is>
      </c>
      <c r="D161" t="inlineStr">
        <is>
          <t>ORD</t>
        </is>
      </c>
      <c r="E161" t="inlineStr">
        <is>
          <t>MCO</t>
        </is>
      </c>
      <c r="F161" t="inlineStr">
        <is>
          <t>ORD-MCO</t>
        </is>
      </c>
      <c r="G161" t="n">
        <v>16</v>
      </c>
      <c r="H161" t="n">
        <v>1</v>
      </c>
      <c r="I161" t="n">
        <v>0.9969</v>
      </c>
      <c r="J161" t="n">
        <v>1</v>
      </c>
      <c r="K161" t="n">
        <v>85</v>
      </c>
      <c r="L161" t="inlineStr">
        <is>
          <t>projected turn slack (min)=-35 (+3.34); inbound leg departure delay (if departed by cutoff)=85 (+0.70); aircraft's latest known departure delay=85 (+0.58)</t>
        </is>
      </c>
    </row>
    <row r="162">
      <c r="A162" t="inlineStr">
        <is>
          <t>17891af57f762dd886ac69fd14a6e187</t>
        </is>
      </c>
      <c r="B162" t="inlineStr">
        <is>
          <t>2024-04-21</t>
        </is>
      </c>
      <c r="C162" t="inlineStr">
        <is>
          <t>AA</t>
        </is>
      </c>
      <c r="D162" t="inlineStr">
        <is>
          <t>BWI</t>
        </is>
      </c>
      <c r="E162" t="inlineStr">
        <is>
          <t>DFW</t>
        </is>
      </c>
      <c r="F162" t="inlineStr">
        <is>
          <t>BWI-DFW</t>
        </is>
      </c>
      <c r="G162" t="n">
        <v>15</v>
      </c>
      <c r="H162" t="n">
        <v>1</v>
      </c>
      <c r="I162" t="n">
        <v>0.9968900000000001</v>
      </c>
      <c r="J162" t="n">
        <v>1</v>
      </c>
      <c r="K162" t="n">
        <v>99</v>
      </c>
      <c r="L162" t="inlineStr">
        <is>
          <t>projected turn slack (min)=-49 (+3.98); aircraft's latest known departure delay=99 (+1.01); inbound leg departure delay (if departed by cutoff)=99 (+0.84)</t>
        </is>
      </c>
    </row>
    <row r="163">
      <c r="A163" t="inlineStr">
        <is>
          <t>5ea4e4d7aa2050c1ce229a0b8b0299c7</t>
        </is>
      </c>
      <c r="B163" t="inlineStr">
        <is>
          <t>2024-04-12</t>
        </is>
      </c>
      <c r="C163" t="inlineStr">
        <is>
          <t>G4</t>
        </is>
      </c>
      <c r="D163" t="inlineStr">
        <is>
          <t>PIE</t>
        </is>
      </c>
      <c r="E163" t="inlineStr">
        <is>
          <t>ATW</t>
        </is>
      </c>
      <c r="F163" t="inlineStr">
        <is>
          <t>PIE-ATW</t>
        </is>
      </c>
      <c r="G163" t="n">
        <v>20</v>
      </c>
      <c r="H163" t="n">
        <v>1</v>
      </c>
      <c r="I163" t="n">
        <v>0.9968900000000001</v>
      </c>
      <c r="J163" t="n">
        <v>1</v>
      </c>
      <c r="K163" t="n">
        <v>90</v>
      </c>
      <c r="L163" t="inlineStr">
        <is>
          <t>projected turn slack (min)=-40 (+4.11); aircraft's latest known departure delay=90 (+1.11); inbound leg departure delay (if departed by cutoff)=90 (+0.80)</t>
        </is>
      </c>
    </row>
    <row r="164">
      <c r="A164" t="inlineStr">
        <is>
          <t>797cab9991bdb3a06b3bd6aa2926c218</t>
        </is>
      </c>
      <c r="B164" t="inlineStr">
        <is>
          <t>2024-04-04</t>
        </is>
      </c>
      <c r="C164" t="inlineStr">
        <is>
          <t>WN</t>
        </is>
      </c>
      <c r="D164" t="inlineStr">
        <is>
          <t>ATL</t>
        </is>
      </c>
      <c r="E164" t="inlineStr">
        <is>
          <t>MEM</t>
        </is>
      </c>
      <c r="F164" t="inlineStr">
        <is>
          <t>ATL-MEM</t>
        </is>
      </c>
      <c r="G164" t="n">
        <v>20</v>
      </c>
      <c r="H164" t="n">
        <v>1</v>
      </c>
      <c r="I164" t="n">
        <v>0.9968900000000001</v>
      </c>
      <c r="J164" t="n">
        <v>1</v>
      </c>
      <c r="K164" t="n">
        <v>79</v>
      </c>
      <c r="L164" t="inlineStr">
        <is>
          <t>projected turn slack (min)=-29 (+3.92); aircraft's latest known departure delay=79 (+0.85); inbound leg departure delay (if departed by cutoff)=79 (+0.80)</t>
        </is>
      </c>
    </row>
    <row r="165">
      <c r="A165" t="inlineStr">
        <is>
          <t>b6f1c4722ab76c56394fe77cd8641e93</t>
        </is>
      </c>
      <c r="B165" t="inlineStr">
        <is>
          <t>2024-04-12</t>
        </is>
      </c>
      <c r="C165" t="inlineStr">
        <is>
          <t>B6</t>
        </is>
      </c>
      <c r="D165" t="inlineStr">
        <is>
          <t>SJC</t>
        </is>
      </c>
      <c r="E165" t="inlineStr">
        <is>
          <t>JFK</t>
        </is>
      </c>
      <c r="F165" t="inlineStr">
        <is>
          <t>SJC-JFK</t>
        </is>
      </c>
      <c r="G165" t="n">
        <v>21</v>
      </c>
      <c r="H165" t="n">
        <v>1</v>
      </c>
      <c r="I165" t="n">
        <v>0.9968900000000001</v>
      </c>
      <c r="J165" t="n">
        <v>1</v>
      </c>
      <c r="K165" t="n">
        <v>129</v>
      </c>
      <c r="L165" t="inlineStr">
        <is>
          <t>projected turn slack (min)=-74 (+3.83); aircraft's latest known departure delay=129 (+0.96); inbound leg departure delay (if departed by cutoff)=129 (+0.76)</t>
        </is>
      </c>
    </row>
    <row r="166">
      <c r="A166" t="inlineStr">
        <is>
          <t>ee0d6b62a6e751e3c53934b86436899d</t>
        </is>
      </c>
      <c r="B166" t="inlineStr">
        <is>
          <t>2024-04-05</t>
        </is>
      </c>
      <c r="C166" t="inlineStr">
        <is>
          <t>B6</t>
        </is>
      </c>
      <c r="D166" t="inlineStr">
        <is>
          <t>SJU</t>
        </is>
      </c>
      <c r="E166" t="inlineStr">
        <is>
          <t>EWR</t>
        </is>
      </c>
      <c r="F166" t="inlineStr">
        <is>
          <t>SJU-EWR</t>
        </is>
      </c>
      <c r="G166" t="n">
        <v>12</v>
      </c>
      <c r="H166" t="n">
        <v>1</v>
      </c>
      <c r="I166" t="n">
        <v>0.9968900000000001</v>
      </c>
      <c r="J166" t="n">
        <v>1</v>
      </c>
      <c r="K166" t="n">
        <v>103</v>
      </c>
      <c r="L166" t="inlineStr">
        <is>
          <t>projected turn slack (min)=-58 (+3.79); aircraft's latest known departure delay=103 (+0.88); inbound leg departure delay (if departed by cutoff)=103 (+0.76)</t>
        </is>
      </c>
    </row>
    <row r="167">
      <c r="A167" t="inlineStr">
        <is>
          <t>eec41f52676a8a331fa047081f529ea8</t>
        </is>
      </c>
      <c r="B167" t="inlineStr">
        <is>
          <t>2024-04-21</t>
        </is>
      </c>
      <c r="C167" t="inlineStr">
        <is>
          <t>WN</t>
        </is>
      </c>
      <c r="D167" t="inlineStr">
        <is>
          <t>SAN</t>
        </is>
      </c>
      <c r="E167" t="inlineStr">
        <is>
          <t>SMF</t>
        </is>
      </c>
      <c r="F167" t="inlineStr">
        <is>
          <t>SAN-SMF</t>
        </is>
      </c>
      <c r="G167" t="n">
        <v>14</v>
      </c>
      <c r="H167" t="n">
        <v>1</v>
      </c>
      <c r="I167" t="n">
        <v>0.9968900000000001</v>
      </c>
      <c r="J167" t="n">
        <v>1</v>
      </c>
      <c r="K167" t="n">
        <v>123</v>
      </c>
      <c r="L167" t="inlineStr">
        <is>
          <t>projected turn slack (min)=-78 (+3.80); aircraft's latest known departure delay=123 (+1.13); inbound leg departure delay (if departed by cutoff)=123 (+0.76)</t>
        </is>
      </c>
    </row>
    <row r="168">
      <c r="A168" t="inlineStr">
        <is>
          <t>7770dd1eb0e756abbf245d53553c6cf7</t>
        </is>
      </c>
      <c r="B168" t="inlineStr">
        <is>
          <t>2024-04-26</t>
        </is>
      </c>
      <c r="C168" t="inlineStr">
        <is>
          <t>WN</t>
        </is>
      </c>
      <c r="D168" t="inlineStr">
        <is>
          <t>LAS</t>
        </is>
      </c>
      <c r="E168" t="inlineStr">
        <is>
          <t>ATL</t>
        </is>
      </c>
      <c r="F168" t="inlineStr">
        <is>
          <t>LAS-ATL</t>
        </is>
      </c>
      <c r="G168" t="n">
        <v>18</v>
      </c>
      <c r="H168" t="n">
        <v>1</v>
      </c>
      <c r="I168" t="n">
        <v>0.99688</v>
      </c>
      <c r="J168" t="n">
        <v>1</v>
      </c>
      <c r="K168" t="n">
        <v>99</v>
      </c>
      <c r="L168" t="inlineStr">
        <is>
          <t>projected turn slack (min)=-34 (+3.58); aircraft's latest known departure delay=99 (+0.92); inbound leg departure delay (if departed by cutoff)=99 (+0.71)</t>
        </is>
      </c>
    </row>
    <row r="169">
      <c r="A169" t="inlineStr">
        <is>
          <t>d433268ec337e4be33c8dc5d10d91147</t>
        </is>
      </c>
      <c r="B169" t="inlineStr">
        <is>
          <t>2024-04-26</t>
        </is>
      </c>
      <c r="C169" t="inlineStr">
        <is>
          <t>WN</t>
        </is>
      </c>
      <c r="D169" t="inlineStr">
        <is>
          <t>BWI</t>
        </is>
      </c>
      <c r="E169" t="inlineStr">
        <is>
          <t>CLT</t>
        </is>
      </c>
      <c r="F169" t="inlineStr">
        <is>
          <t>BWI-CLT</t>
        </is>
      </c>
      <c r="G169" t="n">
        <v>20</v>
      </c>
      <c r="H169" t="n">
        <v>1</v>
      </c>
      <c r="I169" t="n">
        <v>0.99688</v>
      </c>
      <c r="J169" t="n">
        <v>1</v>
      </c>
      <c r="K169" t="n">
        <v>106</v>
      </c>
      <c r="L169" t="inlineStr">
        <is>
          <t>projected turn slack (min)=-66 (+3.88); aircraft's latest known departure delay=106 (+1.20); inbound leg departure delay (if departed by cutoff)=106 (+0.90)</t>
        </is>
      </c>
    </row>
    <row r="170">
      <c r="A170" t="inlineStr">
        <is>
          <t>20d8eea3aadbf6c49da3e2135290a9d3</t>
        </is>
      </c>
      <c r="B170" t="inlineStr">
        <is>
          <t>2024-04-11</t>
        </is>
      </c>
      <c r="C170" t="inlineStr">
        <is>
          <t>DL</t>
        </is>
      </c>
      <c r="D170" t="inlineStr">
        <is>
          <t>MIA</t>
        </is>
      </c>
      <c r="E170" t="inlineStr">
        <is>
          <t>DTW</t>
        </is>
      </c>
      <c r="F170" t="inlineStr">
        <is>
          <t>MIA-DTW</t>
        </is>
      </c>
      <c r="G170" t="n">
        <v>12</v>
      </c>
      <c r="H170" t="n">
        <v>1</v>
      </c>
      <c r="I170" t="n">
        <v>0.99686</v>
      </c>
      <c r="J170" t="n">
        <v>1</v>
      </c>
      <c r="K170" t="n">
        <v>119</v>
      </c>
      <c r="L170" t="inlineStr">
        <is>
          <t>projected turn slack (min)=-54 (+3.87); aircraft's latest known departure delay=119 (+0.84); inbound leg departure delay (if departed by cutoff)=119 (+0.80)</t>
        </is>
      </c>
    </row>
    <row r="171">
      <c r="A171" t="inlineStr">
        <is>
          <t>8483d94a29fd9be1df08b5a606e6f1a0</t>
        </is>
      </c>
      <c r="B171" t="inlineStr">
        <is>
          <t>2024-04-17</t>
        </is>
      </c>
      <c r="C171" t="inlineStr">
        <is>
          <t>AS</t>
        </is>
      </c>
      <c r="D171" t="inlineStr">
        <is>
          <t>PSP</t>
        </is>
      </c>
      <c r="E171" t="inlineStr">
        <is>
          <t>SEA</t>
        </is>
      </c>
      <c r="F171" t="inlineStr">
        <is>
          <t>PSP-SEA</t>
        </is>
      </c>
      <c r="G171" t="n">
        <v>17</v>
      </c>
      <c r="H171" t="n">
        <v>1</v>
      </c>
      <c r="I171" t="n">
        <v>0.99686</v>
      </c>
      <c r="J171" t="n">
        <v>1</v>
      </c>
      <c r="K171" t="n">
        <v>96</v>
      </c>
      <c r="L171" t="inlineStr">
        <is>
          <t>projected turn slack (min)=-35 (+3.87); aircraft's latest known departure delay=96 (+1.00); inbound leg departure delay (if departed by cutoff)=96 (+0.77)</t>
        </is>
      </c>
    </row>
    <row r="172">
      <c r="A172" t="inlineStr">
        <is>
          <t>9a5c931b6c8f5bb029c0a56736c76de8</t>
        </is>
      </c>
      <c r="B172" t="inlineStr">
        <is>
          <t>2024-04-20</t>
        </is>
      </c>
      <c r="C172" t="inlineStr">
        <is>
          <t>AA</t>
        </is>
      </c>
      <c r="D172" t="inlineStr">
        <is>
          <t>FAT</t>
        </is>
      </c>
      <c r="E172" t="inlineStr">
        <is>
          <t>DFW</t>
        </is>
      </c>
      <c r="F172" t="inlineStr">
        <is>
          <t>FAT-DFW</t>
        </is>
      </c>
      <c r="G172" t="n">
        <v>10</v>
      </c>
      <c r="H172" t="n">
        <v>1</v>
      </c>
      <c r="I172" t="n">
        <v>0.99686</v>
      </c>
      <c r="J172" t="n">
        <v>1</v>
      </c>
      <c r="K172" t="n">
        <v>103</v>
      </c>
      <c r="L172" t="inlineStr">
        <is>
          <t>projected turn slack (min)=-49 (+3.57); aircraft's latest known departure delay=103 (+0.92); inbound leg departure delay (if departed by cutoff)=103 (+0.76)</t>
        </is>
      </c>
    </row>
    <row r="173">
      <c r="A173" t="inlineStr">
        <is>
          <t>2f6e70964f00de6c3723dba4a3c4c2bc</t>
        </is>
      </c>
      <c r="B173" t="inlineStr">
        <is>
          <t>2024-04-11</t>
        </is>
      </c>
      <c r="C173" t="inlineStr">
        <is>
          <t>DL</t>
        </is>
      </c>
      <c r="D173" t="inlineStr">
        <is>
          <t>JFK</t>
        </is>
      </c>
      <c r="E173" t="inlineStr">
        <is>
          <t>DTW</t>
        </is>
      </c>
      <c r="F173" t="inlineStr">
        <is>
          <t>JFK-DTW</t>
        </is>
      </c>
      <c r="G173" t="n">
        <v>17</v>
      </c>
      <c r="H173" t="n">
        <v>1</v>
      </c>
      <c r="I173" t="n">
        <v>0.99685</v>
      </c>
      <c r="J173" t="n">
        <v>1</v>
      </c>
      <c r="K173" t="n">
        <v>112</v>
      </c>
      <c r="L173" t="inlineStr">
        <is>
          <t>projected turn slack (min)=-52 (+3.99); aircraft's latest known departure delay=112 (+0.84); inbound leg departure delay (if departed by cutoff)=112 (+0.83)</t>
        </is>
      </c>
    </row>
    <row r="174">
      <c r="A174" t="inlineStr">
        <is>
          <t>582e4fe93ee33f152efedf1c08e240e0</t>
        </is>
      </c>
      <c r="B174" t="inlineStr">
        <is>
          <t>2024-04-11</t>
        </is>
      </c>
      <c r="C174" t="inlineStr">
        <is>
          <t>NK</t>
        </is>
      </c>
      <c r="D174" t="inlineStr">
        <is>
          <t>MCO</t>
        </is>
      </c>
      <c r="E174" t="inlineStr">
        <is>
          <t>BOS</t>
        </is>
      </c>
      <c r="F174" t="inlineStr">
        <is>
          <t>MCO-BOS</t>
        </is>
      </c>
      <c r="G174" t="n">
        <v>13</v>
      </c>
      <c r="H174" t="n">
        <v>1</v>
      </c>
      <c r="I174" t="n">
        <v>0.99685</v>
      </c>
      <c r="J174" t="n">
        <v>1</v>
      </c>
      <c r="K174" t="n">
        <v>105</v>
      </c>
      <c r="L174" t="inlineStr">
        <is>
          <t>projected turn slack (min)=-36 (+3.62); aircraft's latest known departure delay=105 (+0.79); inbound leg departure delay (if departed by cutoff)=105 (+0.74)</t>
        </is>
      </c>
    </row>
    <row r="175">
      <c r="A175" t="inlineStr">
        <is>
          <t>9d25c9e06fde4a85e6ec5e84b1f97bab</t>
        </is>
      </c>
      <c r="B175" t="inlineStr">
        <is>
          <t>2024-04-12</t>
        </is>
      </c>
      <c r="C175" t="inlineStr">
        <is>
          <t>NK</t>
        </is>
      </c>
      <c r="D175" t="inlineStr">
        <is>
          <t>BOS</t>
        </is>
      </c>
      <c r="E175" t="inlineStr">
        <is>
          <t>MYR</t>
        </is>
      </c>
      <c r="F175" t="inlineStr">
        <is>
          <t>BOS-MYR</t>
        </is>
      </c>
      <c r="G175" t="n">
        <v>18</v>
      </c>
      <c r="H175" t="n">
        <v>1</v>
      </c>
      <c r="I175" t="n">
        <v>0.99685</v>
      </c>
      <c r="J175" t="n">
        <v>1</v>
      </c>
      <c r="K175" t="n">
        <v>98</v>
      </c>
      <c r="L175" t="inlineStr">
        <is>
          <t>projected turn slack (min)=-48 (+3.79); aircraft's latest known departure delay=98 (+1.01); inbound leg departure delay (if departed by cutoff)=98 (+0.82)</t>
        </is>
      </c>
    </row>
    <row r="176">
      <c r="A176" t="inlineStr">
        <is>
          <t>26e1601385273fadffc184870055a2a8</t>
        </is>
      </c>
      <c r="B176" t="inlineStr">
        <is>
          <t>2024-04-11</t>
        </is>
      </c>
      <c r="C176" t="inlineStr">
        <is>
          <t>WN</t>
        </is>
      </c>
      <c r="D176" t="inlineStr">
        <is>
          <t>CMH</t>
        </is>
      </c>
      <c r="E176" t="inlineStr">
        <is>
          <t>TPA</t>
        </is>
      </c>
      <c r="F176" t="inlineStr">
        <is>
          <t>CMH-TPA</t>
        </is>
      </c>
      <c r="G176" t="n">
        <v>17</v>
      </c>
      <c r="H176" t="n">
        <v>1</v>
      </c>
      <c r="I176" t="n">
        <v>0.9968399999999999</v>
      </c>
      <c r="J176" t="n">
        <v>1</v>
      </c>
      <c r="K176" t="n">
        <v>70</v>
      </c>
      <c r="L176" t="inlineStr">
        <is>
          <t>projected turn slack (min)=-25 (+2.46); aircraft's latest known departure delay=159 (+1.09); inbound leg overdue, not yet departed (min)=70 (+0.74)</t>
        </is>
      </c>
    </row>
    <row r="177">
      <c r="A177" t="inlineStr">
        <is>
          <t>a5efda853d0748ed61704f4e477d30d3</t>
        </is>
      </c>
      <c r="B177" t="inlineStr">
        <is>
          <t>2024-04-21</t>
        </is>
      </c>
      <c r="C177" t="inlineStr">
        <is>
          <t>NK</t>
        </is>
      </c>
      <c r="D177" t="inlineStr">
        <is>
          <t>RSW</t>
        </is>
      </c>
      <c r="E177" t="inlineStr">
        <is>
          <t>BOS</t>
        </is>
      </c>
      <c r="F177" t="inlineStr">
        <is>
          <t>RSW-BOS</t>
        </is>
      </c>
      <c r="G177" t="n">
        <v>17</v>
      </c>
      <c r="H177" t="n">
        <v>1</v>
      </c>
      <c r="I177" t="n">
        <v>0.9968399999999999</v>
      </c>
      <c r="J177" t="n">
        <v>1</v>
      </c>
      <c r="K177" t="n">
        <v>92</v>
      </c>
      <c r="L177" t="inlineStr">
        <is>
          <t>projected turn slack (min)=-41 (+4.08); aircraft's latest known departure delay=92 (+0.92); inbound leg departure delay (if departed by cutoff)=92 (+0.78)</t>
        </is>
      </c>
    </row>
    <row r="178">
      <c r="A178" t="inlineStr">
        <is>
          <t>75e752f5d1ae9be30acb57e329515fc4</t>
        </is>
      </c>
      <c r="B178" t="inlineStr">
        <is>
          <t>2024-04-03</t>
        </is>
      </c>
      <c r="C178" t="inlineStr">
        <is>
          <t>B6</t>
        </is>
      </c>
      <c r="D178" t="inlineStr">
        <is>
          <t>PBI</t>
        </is>
      </c>
      <c r="E178" t="inlineStr">
        <is>
          <t>BOS</t>
        </is>
      </c>
      <c r="F178" t="inlineStr">
        <is>
          <t>PBI-BOS</t>
        </is>
      </c>
      <c r="G178" t="n">
        <v>21</v>
      </c>
      <c r="H178" t="n">
        <v>1</v>
      </c>
      <c r="I178" t="n">
        <v>0.99683</v>
      </c>
      <c r="J178" t="n">
        <v>1</v>
      </c>
      <c r="K178" t="n">
        <v>80</v>
      </c>
      <c r="L178" t="inlineStr">
        <is>
          <t>projected turn slack (min)=-35 (+3.35); aircraft's latest known departure delay=80 (+0.76); inbound leg departure delay (if departed by cutoff)=80 (+0.72)</t>
        </is>
      </c>
    </row>
    <row r="179">
      <c r="A179" t="inlineStr">
        <is>
          <t>0d053d049275a74f23e4d05af58b24b3</t>
        </is>
      </c>
      <c r="B179" t="inlineStr">
        <is>
          <t>2024-04-28</t>
        </is>
      </c>
      <c r="C179" t="inlineStr">
        <is>
          <t>F9</t>
        </is>
      </c>
      <c r="D179" t="inlineStr">
        <is>
          <t>DFW</t>
        </is>
      </c>
      <c r="E179" t="inlineStr">
        <is>
          <t>MSP</t>
        </is>
      </c>
      <c r="F179" t="inlineStr">
        <is>
          <t>DFW-MSP</t>
        </is>
      </c>
      <c r="G179" t="n">
        <v>13</v>
      </c>
      <c r="H179" t="n">
        <v>1</v>
      </c>
      <c r="I179" t="n">
        <v>0.99682</v>
      </c>
      <c r="J179" t="n">
        <v>1</v>
      </c>
      <c r="K179" t="n">
        <v>85</v>
      </c>
      <c r="L179" t="inlineStr">
        <is>
          <t>projected turn slack (min)=-30 (+3.53); inbound leg departure delay (if departed by cutoff)=85 (+0.68); aircraft's latest known departure delay=85 (+0.62)</t>
        </is>
      </c>
    </row>
    <row r="180">
      <c r="A180" t="inlineStr">
        <is>
          <t>86ddbc37b73d185bb0a0a78fc974183f</t>
        </is>
      </c>
      <c r="B180" t="inlineStr">
        <is>
          <t>2024-04-17</t>
        </is>
      </c>
      <c r="C180" t="inlineStr">
        <is>
          <t>AS</t>
        </is>
      </c>
      <c r="D180" t="inlineStr">
        <is>
          <t>IAH</t>
        </is>
      </c>
      <c r="E180" t="inlineStr">
        <is>
          <t>SEA</t>
        </is>
      </c>
      <c r="F180" t="inlineStr">
        <is>
          <t>IAH-SEA</t>
        </is>
      </c>
      <c r="G180" t="n">
        <v>18</v>
      </c>
      <c r="H180" t="n">
        <v>1</v>
      </c>
      <c r="I180" t="n">
        <v>0.99682</v>
      </c>
      <c r="J180" t="n">
        <v>1</v>
      </c>
      <c r="K180" t="n">
        <v>100</v>
      </c>
      <c r="L180" t="inlineStr">
        <is>
          <t>projected turn slack (min)=-40 (+4.05); aircraft's latest known departure delay=100 (+0.96); inbound leg departure delay (if departed by cutoff)=100 (+0.80)</t>
        </is>
      </c>
    </row>
    <row r="181">
      <c r="A181" t="inlineStr">
        <is>
          <t>d349cc22a77514956e955b1a04b8b012</t>
        </is>
      </c>
      <c r="B181" t="inlineStr">
        <is>
          <t>2024-04-13</t>
        </is>
      </c>
      <c r="C181" t="inlineStr">
        <is>
          <t>B6</t>
        </is>
      </c>
      <c r="D181" t="inlineStr">
        <is>
          <t>JFK</t>
        </is>
      </c>
      <c r="E181" t="inlineStr">
        <is>
          <t>RSW</t>
        </is>
      </c>
      <c r="F181" t="inlineStr">
        <is>
          <t>JFK-RSW</t>
        </is>
      </c>
      <c r="G181" t="n">
        <v>21</v>
      </c>
      <c r="H181" t="n">
        <v>1</v>
      </c>
      <c r="I181" t="n">
        <v>0.99682</v>
      </c>
      <c r="J181" t="n">
        <v>1</v>
      </c>
      <c r="K181" t="n">
        <v>90</v>
      </c>
      <c r="L181" t="inlineStr">
        <is>
          <t>projected turn slack (min)=-45 (+4.13); aircraft's latest known departure delay=90 (+0.84); inbound leg departure delay (if departed by cutoff)=90 (+0.79)</t>
        </is>
      </c>
    </row>
    <row r="182">
      <c r="A182" t="inlineStr">
        <is>
          <t>de9334ffa4636b16cb9d11a94a5f5162</t>
        </is>
      </c>
      <c r="B182" t="inlineStr">
        <is>
          <t>2024-04-17</t>
        </is>
      </c>
      <c r="C182" t="inlineStr">
        <is>
          <t>AS</t>
        </is>
      </c>
      <c r="D182" t="inlineStr">
        <is>
          <t>FLL</t>
        </is>
      </c>
      <c r="E182" t="inlineStr">
        <is>
          <t>SEA</t>
        </is>
      </c>
      <c r="F182" t="inlineStr">
        <is>
          <t>FLL-SEA</t>
        </is>
      </c>
      <c r="G182" t="n">
        <v>18</v>
      </c>
      <c r="H182" t="n">
        <v>1</v>
      </c>
      <c r="I182" t="n">
        <v>0.99682</v>
      </c>
      <c r="J182" t="n">
        <v>1</v>
      </c>
      <c r="K182" t="n">
        <v>133</v>
      </c>
      <c r="L182" t="inlineStr">
        <is>
          <t>projected turn slack (min)=-73 (+3.62); inbound leg departure delay (if departed by cutoff)=133 (+0.74); aircraft's latest known departure delay=133 (+0.70)</t>
        </is>
      </c>
    </row>
    <row r="183">
      <c r="A183" t="inlineStr">
        <is>
          <t>4db54a19d9631e212600ac1d02ff0bc6</t>
        </is>
      </c>
      <c r="B183" t="inlineStr">
        <is>
          <t>2024-04-11</t>
        </is>
      </c>
      <c r="C183" t="inlineStr">
        <is>
          <t>WN</t>
        </is>
      </c>
      <c r="D183" t="inlineStr">
        <is>
          <t>FLL</t>
        </is>
      </c>
      <c r="E183" t="inlineStr">
        <is>
          <t>SJU</t>
        </is>
      </c>
      <c r="F183" t="inlineStr">
        <is>
          <t>FLL-SJU</t>
        </is>
      </c>
      <c r="G183" t="n">
        <v>19</v>
      </c>
      <c r="H183" t="n">
        <v>1</v>
      </c>
      <c r="I183" t="n">
        <v>0.99681</v>
      </c>
      <c r="J183" t="n">
        <v>1</v>
      </c>
      <c r="K183" t="n">
        <v>70</v>
      </c>
      <c r="L183" t="inlineStr">
        <is>
          <t>projected turn slack (min)=-25 (+2.97); aircraft's latest known departure delay=70 (+0.61); share of origin flights overdue=0.7 (+0.55)</t>
        </is>
      </c>
    </row>
    <row r="184">
      <c r="A184" t="inlineStr">
        <is>
          <t>12600d19cf74ba64be4fcf3227f513ae</t>
        </is>
      </c>
      <c r="B184" t="inlineStr">
        <is>
          <t>2024-04-03</t>
        </is>
      </c>
      <c r="C184" t="inlineStr">
        <is>
          <t>NK</t>
        </is>
      </c>
      <c r="D184" t="inlineStr">
        <is>
          <t>FLL</t>
        </is>
      </c>
      <c r="E184" t="inlineStr">
        <is>
          <t>BOS</t>
        </is>
      </c>
      <c r="F184" t="inlineStr">
        <is>
          <t>FLL-BOS</t>
        </is>
      </c>
      <c r="G184" t="n">
        <v>20</v>
      </c>
      <c r="H184" t="n">
        <v>1</v>
      </c>
      <c r="I184" t="n">
        <v>0.9968</v>
      </c>
      <c r="J184" t="n">
        <v>1</v>
      </c>
      <c r="K184" t="n">
        <v>91</v>
      </c>
      <c r="L184" t="inlineStr">
        <is>
          <t>projected turn slack (min)=-43 (+3.16); inbound leg departure delay (if departed by cutoff)=91 (+0.74); aircraft's latest known departure delay=91 (+0.70)</t>
        </is>
      </c>
    </row>
    <row r="185">
      <c r="A185" t="inlineStr">
        <is>
          <t>6e8a110a3d9f7354fb46b60fddea74bd</t>
        </is>
      </c>
      <c r="B185" t="inlineStr">
        <is>
          <t>2024-04-10</t>
        </is>
      </c>
      <c r="C185" t="inlineStr">
        <is>
          <t>WN</t>
        </is>
      </c>
      <c r="D185" t="inlineStr">
        <is>
          <t>SAN</t>
        </is>
      </c>
      <c r="E185" t="inlineStr">
        <is>
          <t>SFO</t>
        </is>
      </c>
      <c r="F185" t="inlineStr">
        <is>
          <t>SAN-SFO</t>
        </is>
      </c>
      <c r="G185" t="n">
        <v>15</v>
      </c>
      <c r="H185" t="n">
        <v>1</v>
      </c>
      <c r="I185" t="n">
        <v>0.9968</v>
      </c>
      <c r="J185" t="n">
        <v>1</v>
      </c>
      <c r="K185" t="n">
        <v>111</v>
      </c>
      <c r="L185" t="inlineStr">
        <is>
          <t>projected turn slack (min)=-61 (+3.58); aircraft's latest known departure delay=111 (+1.05); inbound leg departure delay (if departed by cutoff)=111 (+0.70)</t>
        </is>
      </c>
    </row>
    <row r="186">
      <c r="A186" t="inlineStr">
        <is>
          <t>84152f802a2d02f9b78154f93f738cc1</t>
        </is>
      </c>
      <c r="B186" t="inlineStr">
        <is>
          <t>2024-04-04</t>
        </is>
      </c>
      <c r="C186" t="inlineStr">
        <is>
          <t>F9</t>
        </is>
      </c>
      <c r="D186" t="inlineStr">
        <is>
          <t>PHX</t>
        </is>
      </c>
      <c r="E186" t="inlineStr">
        <is>
          <t>LAS</t>
        </is>
      </c>
      <c r="F186" t="inlineStr">
        <is>
          <t>PHX-LAS</t>
        </is>
      </c>
      <c r="G186" t="n">
        <v>20</v>
      </c>
      <c r="H186" t="n">
        <v>1</v>
      </c>
      <c r="I186" t="n">
        <v>0.9968</v>
      </c>
      <c r="J186" t="n">
        <v>1</v>
      </c>
      <c r="K186" t="n">
        <v>121</v>
      </c>
      <c r="L186" t="inlineStr">
        <is>
          <t>projected turn slack (min)=-61 (+3.67); aircraft's latest known departure delay=121 (+0.99); inbound leg departure delay (if departed by cutoff)=121 (+0.65)</t>
        </is>
      </c>
    </row>
    <row r="187">
      <c r="A187" t="inlineStr">
        <is>
          <t>041ee58417fdcfd3e5365a6552890019</t>
        </is>
      </c>
      <c r="B187" t="inlineStr">
        <is>
          <t>2024-04-11</t>
        </is>
      </c>
      <c r="C187" t="inlineStr">
        <is>
          <t>AA</t>
        </is>
      </c>
      <c r="D187" t="inlineStr">
        <is>
          <t>IAD</t>
        </is>
      </c>
      <c r="E187" t="inlineStr">
        <is>
          <t>DFW</t>
        </is>
      </c>
      <c r="F187" t="inlineStr">
        <is>
          <t>IAD-DFW</t>
        </is>
      </c>
      <c r="G187" t="n">
        <v>17</v>
      </c>
      <c r="H187" t="n">
        <v>1</v>
      </c>
      <c r="I187" t="n">
        <v>0.99679</v>
      </c>
      <c r="J187" t="n">
        <v>1</v>
      </c>
      <c r="K187" t="n">
        <v>104</v>
      </c>
      <c r="L187" t="inlineStr">
        <is>
          <t>projected turn slack (min)=-54 (+4.04); aircraft's latest known departure delay=104 (+1.05); inbound leg departure delay (if departed by cutoff)=104 (+0.81)</t>
        </is>
      </c>
    </row>
    <row r="188">
      <c r="A188" t="inlineStr">
        <is>
          <t>172896ce1a8a741c218324722d3abed2</t>
        </is>
      </c>
      <c r="B188" t="inlineStr">
        <is>
          <t>2024-04-04</t>
        </is>
      </c>
      <c r="C188" t="inlineStr">
        <is>
          <t>B6</t>
        </is>
      </c>
      <c r="D188" t="inlineStr">
        <is>
          <t>EWR</t>
        </is>
      </c>
      <c r="E188" t="inlineStr">
        <is>
          <t>MCO</t>
        </is>
      </c>
      <c r="F188" t="inlineStr">
        <is>
          <t>EWR-MCO</t>
        </is>
      </c>
      <c r="G188" t="n">
        <v>10</v>
      </c>
      <c r="H188" t="n">
        <v>1</v>
      </c>
      <c r="I188" t="n">
        <v>0.99678</v>
      </c>
      <c r="J188" t="n">
        <v>1</v>
      </c>
      <c r="K188" t="n">
        <v>101</v>
      </c>
      <c r="L188" t="inlineStr">
        <is>
          <t>projected turn slack (min)=-54 (+3.83); aircraft's latest known departure delay=101 (+0.86); inbound leg departure delay (if departed by cutoff)=101 (+0.77)</t>
        </is>
      </c>
    </row>
    <row r="189">
      <c r="A189" t="inlineStr">
        <is>
          <t>780ce8e02ec08ea949b68802927320de</t>
        </is>
      </c>
      <c r="B189" t="inlineStr">
        <is>
          <t>2024-04-25</t>
        </is>
      </c>
      <c r="C189" t="inlineStr">
        <is>
          <t>UA</t>
        </is>
      </c>
      <c r="D189" t="inlineStr">
        <is>
          <t>FLL</t>
        </is>
      </c>
      <c r="E189" t="inlineStr">
        <is>
          <t>SFO</t>
        </is>
      </c>
      <c r="F189" t="inlineStr">
        <is>
          <t>FLL-SFO</t>
        </is>
      </c>
      <c r="G189" t="n">
        <v>18</v>
      </c>
      <c r="H189" t="n">
        <v>1</v>
      </c>
      <c r="I189" t="n">
        <v>0.99678</v>
      </c>
      <c r="J189" t="n">
        <v>1</v>
      </c>
      <c r="K189" t="n">
        <v>100</v>
      </c>
      <c r="L189" t="inlineStr">
        <is>
          <t>projected turn slack (min)=-38 (+3.76); inbound leg departure delay (if departed by cutoff)=100 (+0.63); aircraft's latest known departure delay=100 (+0.61)</t>
        </is>
      </c>
    </row>
    <row r="190">
      <c r="A190" t="inlineStr">
        <is>
          <t>dccf3f0284c8b5fbe2bdc01dfe869f54</t>
        </is>
      </c>
      <c r="B190" t="inlineStr">
        <is>
          <t>2024-04-12</t>
        </is>
      </c>
      <c r="C190" t="inlineStr">
        <is>
          <t>WN</t>
        </is>
      </c>
      <c r="D190" t="inlineStr">
        <is>
          <t>LAS</t>
        </is>
      </c>
      <c r="E190" t="inlineStr">
        <is>
          <t>SFO</t>
        </is>
      </c>
      <c r="F190" t="inlineStr">
        <is>
          <t>LAS-SFO</t>
        </is>
      </c>
      <c r="G190" t="n">
        <v>17</v>
      </c>
      <c r="H190" t="n">
        <v>1</v>
      </c>
      <c r="I190" t="n">
        <v>0.99678</v>
      </c>
      <c r="J190" t="n">
        <v>1</v>
      </c>
      <c r="K190" t="n">
        <v>81</v>
      </c>
      <c r="L190" t="inlineStr">
        <is>
          <t>projected turn slack (min)=-61 (+3.06); inbound leg departure delay (if departed by cutoff)=81 (+0.68); aircraft's latest known departure delay=81 (+0.64)</t>
        </is>
      </c>
    </row>
    <row r="191">
      <c r="A191" t="inlineStr">
        <is>
          <t>fe26444f1f80dcc93afc744f40c22d1e</t>
        </is>
      </c>
      <c r="B191" t="inlineStr">
        <is>
          <t>2024-04-11</t>
        </is>
      </c>
      <c r="C191" t="inlineStr">
        <is>
          <t>B6</t>
        </is>
      </c>
      <c r="D191" t="inlineStr">
        <is>
          <t>PBI</t>
        </is>
      </c>
      <c r="E191" t="inlineStr">
        <is>
          <t>EWR</t>
        </is>
      </c>
      <c r="F191" t="inlineStr">
        <is>
          <t>PBI-EWR</t>
        </is>
      </c>
      <c r="G191" t="n">
        <v>19</v>
      </c>
      <c r="H191" t="n">
        <v>1</v>
      </c>
      <c r="I191" t="n">
        <v>0.99677</v>
      </c>
      <c r="J191" t="n">
        <v>1</v>
      </c>
      <c r="K191" t="n">
        <v>93</v>
      </c>
      <c r="L191" t="inlineStr">
        <is>
          <t>projected turn slack (min)=-31 (+3.51); aircraft's latest known departure delay=93 (+0.77); inbound leg departure delay (if departed by cutoff)=93 (+0.70)</t>
        </is>
      </c>
    </row>
    <row r="192">
      <c r="A192" t="inlineStr">
        <is>
          <t>bef9ec3ac52241a5127b48a4e67a8cba</t>
        </is>
      </c>
      <c r="B192" t="inlineStr">
        <is>
          <t>2024-04-26</t>
        </is>
      </c>
      <c r="C192" t="inlineStr">
        <is>
          <t>WN</t>
        </is>
      </c>
      <c r="D192" t="inlineStr">
        <is>
          <t>STL</t>
        </is>
      </c>
      <c r="E192" t="inlineStr">
        <is>
          <t>PHX</t>
        </is>
      </c>
      <c r="F192" t="inlineStr">
        <is>
          <t>STL-PHX</t>
        </is>
      </c>
      <c r="G192" t="n">
        <v>18</v>
      </c>
      <c r="H192" t="n">
        <v>1</v>
      </c>
      <c r="I192" t="n">
        <v>0.99675</v>
      </c>
      <c r="J192" t="n">
        <v>1</v>
      </c>
      <c r="K192" t="n">
        <v>120</v>
      </c>
      <c r="L192" t="inlineStr">
        <is>
          <t>projected turn slack (min)=-75 (+3.66); aircraft's latest known departure delay=120 (+0.98); inbound leg departure delay (if departed by cutoff)=120 (+0.77)</t>
        </is>
      </c>
    </row>
    <row r="193">
      <c r="A193" t="inlineStr">
        <is>
          <t>c82eba7eb2c822c8cea9c2482d656b10</t>
        </is>
      </c>
      <c r="B193" t="inlineStr">
        <is>
          <t>2024-04-28</t>
        </is>
      </c>
      <c r="C193" t="inlineStr">
        <is>
          <t>AA</t>
        </is>
      </c>
      <c r="D193" t="inlineStr">
        <is>
          <t>ORF</t>
        </is>
      </c>
      <c r="E193" t="inlineStr">
        <is>
          <t>DFW</t>
        </is>
      </c>
      <c r="F193" t="inlineStr">
        <is>
          <t>ORF-DFW</t>
        </is>
      </c>
      <c r="G193" t="n">
        <v>15</v>
      </c>
      <c r="H193" t="n">
        <v>1</v>
      </c>
      <c r="I193" t="n">
        <v>0.99674</v>
      </c>
      <c r="J193" t="n">
        <v>1</v>
      </c>
      <c r="K193" t="n">
        <v>102</v>
      </c>
      <c r="L193" t="inlineStr">
        <is>
          <t>projected turn slack (min)=-52 (+3.63); aircraft's latest known departure delay=102 (+0.80); inbound leg departure delay (if departed by cutoff)=102 (+0.77)</t>
        </is>
      </c>
    </row>
    <row r="194">
      <c r="A194" t="inlineStr">
        <is>
          <t>62d9a173708f9c2ec441bae222cfb48a</t>
        </is>
      </c>
      <c r="B194" t="inlineStr">
        <is>
          <t>2024-04-20</t>
        </is>
      </c>
      <c r="C194" t="inlineStr">
        <is>
          <t>DL</t>
        </is>
      </c>
      <c r="D194" t="inlineStr">
        <is>
          <t>MSY</t>
        </is>
      </c>
      <c r="E194" t="inlineStr">
        <is>
          <t>DTW</t>
        </is>
      </c>
      <c r="F194" t="inlineStr">
        <is>
          <t>MSY-DTW</t>
        </is>
      </c>
      <c r="G194" t="n">
        <v>16</v>
      </c>
      <c r="H194" t="n">
        <v>1</v>
      </c>
      <c r="I194" t="n">
        <v>0.99673</v>
      </c>
      <c r="J194" t="n">
        <v>1</v>
      </c>
      <c r="K194" t="n">
        <v>108</v>
      </c>
      <c r="L194" t="inlineStr">
        <is>
          <t>projected turn slack (min)=-43 (+4.00); aircraft's latest known departure delay=108 (+0.98); inbound leg departure delay (if departed by cutoff)=108 (+0.81)</t>
        </is>
      </c>
    </row>
    <row r="195">
      <c r="A195" t="inlineStr">
        <is>
          <t>fbfcbd1d50d130f0650e26e10c446a06</t>
        </is>
      </c>
      <c r="B195" t="inlineStr">
        <is>
          <t>2024-04-28</t>
        </is>
      </c>
      <c r="C195" t="inlineStr">
        <is>
          <t>AA</t>
        </is>
      </c>
      <c r="D195" t="inlineStr">
        <is>
          <t>SNA</t>
        </is>
      </c>
      <c r="E195" t="inlineStr">
        <is>
          <t>DFW</t>
        </is>
      </c>
      <c r="F195" t="inlineStr">
        <is>
          <t>SNA-DFW</t>
        </is>
      </c>
      <c r="G195" t="n">
        <v>12</v>
      </c>
      <c r="H195" t="n">
        <v>1</v>
      </c>
      <c r="I195" t="n">
        <v>0.9967200000000001</v>
      </c>
      <c r="J195" t="n">
        <v>1</v>
      </c>
      <c r="K195" t="n">
        <v>129</v>
      </c>
      <c r="L195" t="inlineStr">
        <is>
          <t>projected turn slack (min)=-76 (+3.61); inbound leg departure delay (if departed by cutoff)=129 (+0.74); aircraft's latest known departure delay=129 (+0.66)</t>
        </is>
      </c>
    </row>
    <row r="196">
      <c r="A196" t="inlineStr">
        <is>
          <t>47eed67516cfb0d935e9c115b5ee4085</t>
        </is>
      </c>
      <c r="B196" t="inlineStr">
        <is>
          <t>2024-04-05</t>
        </is>
      </c>
      <c r="C196" t="inlineStr">
        <is>
          <t>F9</t>
        </is>
      </c>
      <c r="D196" t="inlineStr">
        <is>
          <t>SFO</t>
        </is>
      </c>
      <c r="E196" t="inlineStr">
        <is>
          <t>PHX</t>
        </is>
      </c>
      <c r="F196" t="inlineStr">
        <is>
          <t>SFO-PHX</t>
        </is>
      </c>
      <c r="G196" t="n">
        <v>16</v>
      </c>
      <c r="H196" t="n">
        <v>1</v>
      </c>
      <c r="I196" t="n">
        <v>0.99671</v>
      </c>
      <c r="J196" t="n">
        <v>1</v>
      </c>
      <c r="K196" t="n">
        <v>78</v>
      </c>
      <c r="L196" t="inlineStr">
        <is>
          <t>projected turn slack (min)=-18 (+2.59); aircraft's latest known departure delay=168 (+0.98); inbound leg overdue, not yet departed (min)=78 (+0.88)</t>
        </is>
      </c>
    </row>
    <row r="197">
      <c r="A197" t="inlineStr">
        <is>
          <t>a94c10115f5f6ffcc7ef9c532b0e5fce</t>
        </is>
      </c>
      <c r="B197" t="inlineStr">
        <is>
          <t>2024-04-11</t>
        </is>
      </c>
      <c r="C197" t="inlineStr">
        <is>
          <t>B6</t>
        </is>
      </c>
      <c r="D197" t="inlineStr">
        <is>
          <t>TPA</t>
        </is>
      </c>
      <c r="E197" t="inlineStr">
        <is>
          <t>HPN</t>
        </is>
      </c>
      <c r="F197" t="inlineStr">
        <is>
          <t>TPA-HPN</t>
        </is>
      </c>
      <c r="G197" t="n">
        <v>18</v>
      </c>
      <c r="H197" t="n">
        <v>1</v>
      </c>
      <c r="I197" t="n">
        <v>0.99671</v>
      </c>
      <c r="J197" t="n">
        <v>1</v>
      </c>
      <c r="K197" t="n">
        <v>79</v>
      </c>
      <c r="L197" t="inlineStr">
        <is>
          <t>projected turn slack (min)=-31 (+3.41); inbound leg departure delay (if departed by cutoff)=79 (+0.70); aircraft's latest known departure delay=79 (+0.61)</t>
        </is>
      </c>
    </row>
    <row r="198">
      <c r="A198" t="inlineStr">
        <is>
          <t>dda77f9f0f520e05bc8fe425d88070d7</t>
        </is>
      </c>
      <c r="B198" t="inlineStr">
        <is>
          <t>2024-04-08</t>
        </is>
      </c>
      <c r="C198" t="inlineStr">
        <is>
          <t>WN</t>
        </is>
      </c>
      <c r="D198" t="inlineStr">
        <is>
          <t>LAS</t>
        </is>
      </c>
      <c r="E198" t="inlineStr">
        <is>
          <t>PHX</t>
        </is>
      </c>
      <c r="F198" t="inlineStr">
        <is>
          <t>LAS-PHX</t>
        </is>
      </c>
      <c r="G198" t="n">
        <v>19</v>
      </c>
      <c r="H198" t="n">
        <v>1</v>
      </c>
      <c r="I198" t="n">
        <v>0.99671</v>
      </c>
      <c r="J198" t="n">
        <v>1</v>
      </c>
      <c r="K198" t="n">
        <v>85</v>
      </c>
      <c r="L198" t="inlineStr">
        <is>
          <t>projected turn slack (min)=-40 (+3.70); inbound leg departure delay (if departed by cutoff)=85 (+0.79); aircraft's latest known departure delay=85 (+0.71)</t>
        </is>
      </c>
    </row>
    <row r="199">
      <c r="A199" t="inlineStr">
        <is>
          <t>1d4548820afb4432ec9c58ef3c62c715</t>
        </is>
      </c>
      <c r="B199" t="inlineStr">
        <is>
          <t>2024-04-11</t>
        </is>
      </c>
      <c r="C199" t="inlineStr">
        <is>
          <t>F9</t>
        </is>
      </c>
      <c r="D199" t="inlineStr">
        <is>
          <t>DFW</t>
        </is>
      </c>
      <c r="E199" t="inlineStr">
        <is>
          <t>LGA</t>
        </is>
      </c>
      <c r="F199" t="inlineStr">
        <is>
          <t>DFW-LGA</t>
        </is>
      </c>
      <c r="G199" t="n">
        <v>16</v>
      </c>
      <c r="H199" t="n">
        <v>1</v>
      </c>
      <c r="I199" t="n">
        <v>0.99668</v>
      </c>
      <c r="J199" t="n">
        <v>1</v>
      </c>
      <c r="K199" t="n">
        <v>119</v>
      </c>
      <c r="L199" t="inlineStr">
        <is>
          <t>projected turn slack (min)=-59 (+3.63); aircraft's latest known departure delay=119 (+0.80); inbound leg departure delay (if departed by cutoff)=119 (+0.66)</t>
        </is>
      </c>
    </row>
    <row r="200">
      <c r="A200" t="inlineStr">
        <is>
          <t>3eebf2b495a52dfa469fbb37783c3cbf</t>
        </is>
      </c>
      <c r="B200" t="inlineStr">
        <is>
          <t>2024-04-10</t>
        </is>
      </c>
      <c r="C200" t="inlineStr">
        <is>
          <t>WN</t>
        </is>
      </c>
      <c r="D200" t="inlineStr">
        <is>
          <t>LAS</t>
        </is>
      </c>
      <c r="E200" t="inlineStr">
        <is>
          <t>PHX</t>
        </is>
      </c>
      <c r="F200" t="inlineStr">
        <is>
          <t>LAS-PHX</t>
        </is>
      </c>
      <c r="G200" t="n">
        <v>15</v>
      </c>
      <c r="H200" t="n">
        <v>1</v>
      </c>
      <c r="I200" t="n">
        <v>0.99668</v>
      </c>
      <c r="J200" t="n">
        <v>1</v>
      </c>
      <c r="K200" t="n">
        <v>125</v>
      </c>
      <c r="L200" t="inlineStr">
        <is>
          <t>projected turn slack (min)=-80 (+3.79); aircraft's latest known departure delay=125 (+1.08); inbound leg departure delay (if departed by cutoff)=125 (+0.82)</t>
        </is>
      </c>
    </row>
    <row r="201">
      <c r="A201" t="inlineStr">
        <is>
          <t>82ca8a288e701e83815fe9f4c847ffbe</t>
        </is>
      </c>
      <c r="B201" t="inlineStr">
        <is>
          <t>2024-04-26</t>
        </is>
      </c>
      <c r="C201" t="inlineStr">
        <is>
          <t>NK</t>
        </is>
      </c>
      <c r="D201" t="inlineStr">
        <is>
          <t>BWI</t>
        </is>
      </c>
      <c r="E201" t="inlineStr">
        <is>
          <t>DFW</t>
        </is>
      </c>
      <c r="F201" t="inlineStr">
        <is>
          <t>BWI-DFW</t>
        </is>
      </c>
      <c r="G201" t="n">
        <v>21</v>
      </c>
      <c r="H201" t="n">
        <v>1</v>
      </c>
      <c r="I201" t="n">
        <v>0.99668</v>
      </c>
      <c r="J201" t="n">
        <v>1</v>
      </c>
      <c r="K201" t="n">
        <v>93</v>
      </c>
      <c r="L201" t="inlineStr">
        <is>
          <t>projected turn slack (min)=-43 (+3.80); aircraft's latest known departure delay=93 (+0.98); inbound leg departure delay (if departed by cutoff)=93 (+0.78)</t>
        </is>
      </c>
    </row>
    <row r="202">
      <c r="A202" t="inlineStr">
        <is>
          <t>2c4bacb1960e5691ea1d1ca768f82699</t>
        </is>
      </c>
      <c r="B202" t="inlineStr">
        <is>
          <t>2024-04-12</t>
        </is>
      </c>
      <c r="C202" t="inlineStr">
        <is>
          <t>DL</t>
        </is>
      </c>
      <c r="D202" t="inlineStr">
        <is>
          <t>MIA</t>
        </is>
      </c>
      <c r="E202" t="inlineStr">
        <is>
          <t>SLC</t>
        </is>
      </c>
      <c r="F202" t="inlineStr">
        <is>
          <t>MIA-SLC</t>
        </is>
      </c>
      <c r="G202" t="n">
        <v>18</v>
      </c>
      <c r="H202" t="n">
        <v>1</v>
      </c>
      <c r="I202" t="n">
        <v>0.9966699999999999</v>
      </c>
      <c r="J202" t="n">
        <v>1</v>
      </c>
      <c r="K202" t="n">
        <v>130</v>
      </c>
      <c r="L202" t="inlineStr">
        <is>
          <t>projected turn slack (min)=-60 (+4.08); aircraft's latest known departure delay=130 (+0.91); inbound leg departure delay (if departed by cutoff)=130 (+0.81)</t>
        </is>
      </c>
    </row>
    <row r="203">
      <c r="A203" t="inlineStr">
        <is>
          <t>3fd44a9acb5f4f9e02c5ebcb23f74c53</t>
        </is>
      </c>
      <c r="B203" t="inlineStr">
        <is>
          <t>2024-04-12</t>
        </is>
      </c>
      <c r="C203" t="inlineStr">
        <is>
          <t>WN</t>
        </is>
      </c>
      <c r="D203" t="inlineStr">
        <is>
          <t>SFO</t>
        </is>
      </c>
      <c r="E203" t="inlineStr">
        <is>
          <t>PHX</t>
        </is>
      </c>
      <c r="F203" t="inlineStr">
        <is>
          <t>SFO-PHX</t>
        </is>
      </c>
      <c r="G203" t="n">
        <v>15</v>
      </c>
      <c r="H203" t="n">
        <v>1</v>
      </c>
      <c r="I203" t="n">
        <v>0.9966699999999999</v>
      </c>
      <c r="J203" t="n">
        <v>1</v>
      </c>
      <c r="K203" t="n">
        <v>82</v>
      </c>
      <c r="L203" t="inlineStr">
        <is>
          <t>projected turn slack (min)=-37 (+3.54); aircraft's latest known departure delay=82 (+0.89); inbound leg departure delay (if departed by cutoff)=82 (+0.76)</t>
        </is>
      </c>
    </row>
    <row r="204">
      <c r="A204" t="inlineStr">
        <is>
          <t>4eeaaca44ec3b76febd0992709fac7c4</t>
        </is>
      </c>
      <c r="B204" t="inlineStr">
        <is>
          <t>2024-04-03</t>
        </is>
      </c>
      <c r="C204" t="inlineStr">
        <is>
          <t>DL</t>
        </is>
      </c>
      <c r="D204" t="inlineStr">
        <is>
          <t>MIA</t>
        </is>
      </c>
      <c r="E204" t="inlineStr">
        <is>
          <t>SLC</t>
        </is>
      </c>
      <c r="F204" t="inlineStr">
        <is>
          <t>MIA-SLC</t>
        </is>
      </c>
      <c r="G204" t="n">
        <v>18</v>
      </c>
      <c r="H204" t="n">
        <v>1</v>
      </c>
      <c r="I204" t="n">
        <v>0.9966699999999999</v>
      </c>
      <c r="J204" t="n">
        <v>1</v>
      </c>
      <c r="K204" t="n">
        <v>202</v>
      </c>
      <c r="L204" t="inlineStr">
        <is>
          <t>projected turn slack (min)=-132 (+3.43); aircraft's latest known departure delay=202 (+0.84); inbound leg departure delay (if departed by cutoff)=202 (+0.72)</t>
        </is>
      </c>
    </row>
    <row r="205">
      <c r="A205" t="inlineStr">
        <is>
          <t>0b59518f76430c5195e888f1c7266f3c</t>
        </is>
      </c>
      <c r="B205" t="inlineStr">
        <is>
          <t>2024-04-17</t>
        </is>
      </c>
      <c r="C205" t="inlineStr">
        <is>
          <t>AS</t>
        </is>
      </c>
      <c r="D205" t="inlineStr">
        <is>
          <t>MSP</t>
        </is>
      </c>
      <c r="E205" t="inlineStr">
        <is>
          <t>SEA</t>
        </is>
      </c>
      <c r="F205" t="inlineStr">
        <is>
          <t>MSP-SEA</t>
        </is>
      </c>
      <c r="G205" t="n">
        <v>14</v>
      </c>
      <c r="H205" t="n">
        <v>1</v>
      </c>
      <c r="I205" t="n">
        <v>0.99666</v>
      </c>
      <c r="J205" t="n">
        <v>1</v>
      </c>
      <c r="K205" t="n">
        <v>101</v>
      </c>
      <c r="L205" t="inlineStr">
        <is>
          <t>projected turn slack (min)=-41 (+4.05); inbound leg departure delay (if departed by cutoff)=101 (+0.87); aircraft's latest known departure delay=101 (+0.84)</t>
        </is>
      </c>
    </row>
    <row r="206">
      <c r="A206" t="inlineStr">
        <is>
          <t>30232d8abcad6b838daa402e0985a494</t>
        </is>
      </c>
      <c r="B206" t="inlineStr">
        <is>
          <t>2024-04-27</t>
        </is>
      </c>
      <c r="C206" t="inlineStr">
        <is>
          <t>NK</t>
        </is>
      </c>
      <c r="D206" t="inlineStr">
        <is>
          <t>EWR</t>
        </is>
      </c>
      <c r="E206" t="inlineStr">
        <is>
          <t>DFW</t>
        </is>
      </c>
      <c r="F206" t="inlineStr">
        <is>
          <t>EWR-DFW</t>
        </is>
      </c>
      <c r="G206" t="n">
        <v>13</v>
      </c>
      <c r="H206" t="n">
        <v>1</v>
      </c>
      <c r="I206" t="n">
        <v>0.99666</v>
      </c>
      <c r="J206" t="n">
        <v>1</v>
      </c>
      <c r="K206" t="n">
        <v>103</v>
      </c>
      <c r="L206" t="inlineStr">
        <is>
          <t>projected turn slack (min)=-50 (+3.77); inbound leg departure delay (if departed by cutoff)=103 (+0.80); aircraft's latest known departure delay=103 (+0.80)</t>
        </is>
      </c>
    </row>
    <row r="207">
      <c r="A207" t="inlineStr">
        <is>
          <t>52f2114adcf46cb9cbb31990c7802eed</t>
        </is>
      </c>
      <c r="B207" t="inlineStr">
        <is>
          <t>2024-04-28</t>
        </is>
      </c>
      <c r="C207" t="inlineStr">
        <is>
          <t>AS</t>
        </is>
      </c>
      <c r="D207" t="inlineStr">
        <is>
          <t>IND</t>
        </is>
      </c>
      <c r="E207" t="inlineStr">
        <is>
          <t>SEA</t>
        </is>
      </c>
      <c r="F207" t="inlineStr">
        <is>
          <t>IND-SEA</t>
        </is>
      </c>
      <c r="G207" t="n">
        <v>18</v>
      </c>
      <c r="H207" t="n">
        <v>1</v>
      </c>
      <c r="I207" t="n">
        <v>0.99666</v>
      </c>
      <c r="J207" t="n">
        <v>1</v>
      </c>
      <c r="K207" t="n">
        <v>101</v>
      </c>
      <c r="L207" t="inlineStr">
        <is>
          <t>projected turn slack (min)=-41 (+4.20); aircraft's latest known departure delay=101 (+1.06); inbound leg departure delay (if departed by cutoff)=101 (+0.85)</t>
        </is>
      </c>
    </row>
    <row r="208">
      <c r="A208" t="inlineStr">
        <is>
          <t>0d0b22fec5445ca0a2d78603fbbfba68</t>
        </is>
      </c>
      <c r="B208" t="inlineStr">
        <is>
          <t>2024-04-11</t>
        </is>
      </c>
      <c r="C208" t="inlineStr">
        <is>
          <t>WN</t>
        </is>
      </c>
      <c r="D208" t="inlineStr">
        <is>
          <t>ORD</t>
        </is>
      </c>
      <c r="E208" t="inlineStr">
        <is>
          <t>DEN</t>
        </is>
      </c>
      <c r="F208" t="inlineStr">
        <is>
          <t>ORD-DEN</t>
        </is>
      </c>
      <c r="G208" t="n">
        <v>18</v>
      </c>
      <c r="H208" t="n">
        <v>1</v>
      </c>
      <c r="I208" t="n">
        <v>0.99665</v>
      </c>
      <c r="J208" t="n">
        <v>1</v>
      </c>
      <c r="K208" t="n">
        <v>120</v>
      </c>
      <c r="L208" t="inlineStr">
        <is>
          <t>projected turn slack (min)=-60 (+3.91); aircraft's latest known departure delay=120 (+1.07); inbound leg departure delay (if departed by cutoff)=120 (+0.84)</t>
        </is>
      </c>
    </row>
    <row r="209">
      <c r="A209" t="inlineStr">
        <is>
          <t>c11377f717aeb34a3e67349a49f14ac7</t>
        </is>
      </c>
      <c r="B209" t="inlineStr">
        <is>
          <t>2024-04-04</t>
        </is>
      </c>
      <c r="C209" t="inlineStr">
        <is>
          <t>F9</t>
        </is>
      </c>
      <c r="D209" t="inlineStr">
        <is>
          <t>PHX</t>
        </is>
      </c>
      <c r="E209" t="inlineStr">
        <is>
          <t>ORD</t>
        </is>
      </c>
      <c r="F209" t="inlineStr">
        <is>
          <t>PHX-ORD</t>
        </is>
      </c>
      <c r="G209" t="n">
        <v>16</v>
      </c>
      <c r="H209" t="n">
        <v>1</v>
      </c>
      <c r="I209" t="n">
        <v>0.99664</v>
      </c>
      <c r="J209" t="n">
        <v>1</v>
      </c>
      <c r="K209" t="n">
        <v>112</v>
      </c>
      <c r="L209" t="inlineStr">
        <is>
          <t>projected turn slack (min)=-47 (+3.87); aircraft's latest known departure delay=112 (+0.98); inbound leg departure delay (if departed by cutoff)=112 (+0.68)</t>
        </is>
      </c>
    </row>
    <row r="210">
      <c r="A210" t="inlineStr">
        <is>
          <t>b49a4ef8e97b2a6057219e785f169015</t>
        </is>
      </c>
      <c r="B210" t="inlineStr">
        <is>
          <t>2024-04-11</t>
        </is>
      </c>
      <c r="C210" t="inlineStr">
        <is>
          <t>WN</t>
        </is>
      </c>
      <c r="D210" t="inlineStr">
        <is>
          <t>PHX</t>
        </is>
      </c>
      <c r="E210" t="inlineStr">
        <is>
          <t>SFO</t>
        </is>
      </c>
      <c r="F210" t="inlineStr">
        <is>
          <t>PHX-SFO</t>
        </is>
      </c>
      <c r="G210" t="n">
        <v>20</v>
      </c>
      <c r="H210" t="n">
        <v>1</v>
      </c>
      <c r="I210" t="n">
        <v>0.99663</v>
      </c>
      <c r="J210" t="n">
        <v>1</v>
      </c>
      <c r="K210" t="n">
        <v>117</v>
      </c>
      <c r="L210" t="inlineStr">
        <is>
          <t>projected turn slack (min)=-52 (+3.56); aircraft's latest known departure delay=117 (+0.94); inbound leg departure delay (if departed by cutoff)=117 (+0.70)</t>
        </is>
      </c>
    </row>
    <row r="211">
      <c r="A211" t="inlineStr">
        <is>
          <t>1515ff373544102d566ba460d6d1c53d</t>
        </is>
      </c>
      <c r="B211" t="inlineStr">
        <is>
          <t>2024-04-10</t>
        </is>
      </c>
      <c r="C211" t="inlineStr">
        <is>
          <t>AA</t>
        </is>
      </c>
      <c r="D211" t="inlineStr">
        <is>
          <t>DFW</t>
        </is>
      </c>
      <c r="E211" t="inlineStr">
        <is>
          <t>LAS</t>
        </is>
      </c>
      <c r="F211" t="inlineStr">
        <is>
          <t>DFW-LAS</t>
        </is>
      </c>
      <c r="G211" t="n">
        <v>21</v>
      </c>
      <c r="H211" t="n">
        <v>1</v>
      </c>
      <c r="I211" t="n">
        <v>0.9966</v>
      </c>
      <c r="J211" t="n">
        <v>1</v>
      </c>
      <c r="K211" t="n">
        <v>88</v>
      </c>
      <c r="L211" t="inlineStr">
        <is>
          <t>projected turn slack (min)=-32 (+3.60); inbound leg departure delay (if departed by cutoff)=88 (+0.69); aircraft's latest known departure delay=88 (+0.62)</t>
        </is>
      </c>
    </row>
    <row r="212">
      <c r="A212" t="inlineStr">
        <is>
          <t>92ae352f8fad756b9a71a4faffd995eb</t>
        </is>
      </c>
      <c r="B212" t="inlineStr">
        <is>
          <t>2024-04-12</t>
        </is>
      </c>
      <c r="C212" t="inlineStr">
        <is>
          <t>DL</t>
        </is>
      </c>
      <c r="D212" t="inlineStr">
        <is>
          <t>BOS</t>
        </is>
      </c>
      <c r="E212" t="inlineStr">
        <is>
          <t>MIA</t>
        </is>
      </c>
      <c r="F212" t="inlineStr">
        <is>
          <t>BOS-MIA</t>
        </is>
      </c>
      <c r="G212" t="n">
        <v>17</v>
      </c>
      <c r="H212" t="n">
        <v>1</v>
      </c>
      <c r="I212" t="n">
        <v>0.9966</v>
      </c>
      <c r="J212" t="n">
        <v>1</v>
      </c>
      <c r="K212" t="n">
        <v>97</v>
      </c>
      <c r="L212" t="inlineStr">
        <is>
          <t>projected turn slack (min)=-33 (+3.73); aircraft's latest known departure delay=97 (+0.84); inbound leg departure delay (if departed by cutoff)=97 (+0.72)</t>
        </is>
      </c>
    </row>
    <row r="213">
      <c r="A213" t="inlineStr">
        <is>
          <t>69547a592a722744c92cf31da0beaf29</t>
        </is>
      </c>
      <c r="B213" t="inlineStr">
        <is>
          <t>2024-04-21</t>
        </is>
      </c>
      <c r="C213" t="inlineStr">
        <is>
          <t>B6</t>
        </is>
      </c>
      <c r="D213" t="inlineStr">
        <is>
          <t>FLL</t>
        </is>
      </c>
      <c r="E213" t="inlineStr">
        <is>
          <t>SJU</t>
        </is>
      </c>
      <c r="F213" t="inlineStr">
        <is>
          <t>FLL-SJU</t>
        </is>
      </c>
      <c r="G213" t="n">
        <v>17</v>
      </c>
      <c r="H213" t="n">
        <v>1</v>
      </c>
      <c r="I213" t="n">
        <v>0.99658</v>
      </c>
      <c r="J213" t="n">
        <v>1</v>
      </c>
      <c r="K213" t="n">
        <v>97</v>
      </c>
      <c r="L213" t="inlineStr">
        <is>
          <t>projected turn slack (min)=-57 (+3.72); aircraft's latest known departure delay=97 (+0.85); inbound leg departure delay (if departed by cutoff)=97 (+0.75)</t>
        </is>
      </c>
    </row>
    <row r="214">
      <c r="A214" t="inlineStr">
        <is>
          <t>f2bf84615cc8553ba9cfee6ab7d999c3</t>
        </is>
      </c>
      <c r="B214" t="inlineStr">
        <is>
          <t>2024-04-11</t>
        </is>
      </c>
      <c r="C214" t="inlineStr">
        <is>
          <t>F9</t>
        </is>
      </c>
      <c r="D214" t="inlineStr">
        <is>
          <t>RSW</t>
        </is>
      </c>
      <c r="E214" t="inlineStr">
        <is>
          <t>PHL</t>
        </is>
      </c>
      <c r="F214" t="inlineStr">
        <is>
          <t>RSW-PHL</t>
        </is>
      </c>
      <c r="G214" t="n">
        <v>17</v>
      </c>
      <c r="H214" t="n">
        <v>1</v>
      </c>
      <c r="I214" t="n">
        <v>0.99658</v>
      </c>
      <c r="J214" t="n">
        <v>1</v>
      </c>
      <c r="K214" t="n">
        <v>78</v>
      </c>
      <c r="L214" t="inlineStr">
        <is>
          <t>projected turn slack (min)=-28 (+3.44); aircraft's latest known departure delay=78 (+0.77); inbound leg departure delay (if departed by cutoff)=78 (+0.70)</t>
        </is>
      </c>
    </row>
    <row r="215">
      <c r="A215" t="inlineStr">
        <is>
          <t>f743ed6f13d5739003a96e515265ce67</t>
        </is>
      </c>
      <c r="B215" t="inlineStr">
        <is>
          <t>2024-04-11</t>
        </is>
      </c>
      <c r="C215" t="inlineStr">
        <is>
          <t>AA</t>
        </is>
      </c>
      <c r="D215" t="inlineStr">
        <is>
          <t>MIA</t>
        </is>
      </c>
      <c r="E215" t="inlineStr">
        <is>
          <t>LAS</t>
        </is>
      </c>
      <c r="F215" t="inlineStr">
        <is>
          <t>MIA-LAS</t>
        </is>
      </c>
      <c r="G215" t="n">
        <v>19</v>
      </c>
      <c r="H215" t="n">
        <v>1</v>
      </c>
      <c r="I215" t="n">
        <v>0.99658</v>
      </c>
      <c r="J215" t="n">
        <v>1</v>
      </c>
      <c r="K215" t="n">
        <v>92</v>
      </c>
      <c r="L215" t="inlineStr">
        <is>
          <t>projected turn slack (min)=-30 (+3.65); inbound leg departure delay (if departed by cutoff)=92 (+0.78); aircraft's latest known departure delay=92 (+0.64)</t>
        </is>
      </c>
    </row>
    <row r="216">
      <c r="A216" t="inlineStr">
        <is>
          <t>746840114114a540c312197e7aa832b5</t>
        </is>
      </c>
      <c r="B216" t="inlineStr">
        <is>
          <t>2024-04-28</t>
        </is>
      </c>
      <c r="C216" t="inlineStr">
        <is>
          <t>WN</t>
        </is>
      </c>
      <c r="D216" t="inlineStr">
        <is>
          <t>LAS</t>
        </is>
      </c>
      <c r="E216" t="inlineStr">
        <is>
          <t>LAX</t>
        </is>
      </c>
      <c r="F216" t="inlineStr">
        <is>
          <t>LAS-LAX</t>
        </is>
      </c>
      <c r="G216" t="n">
        <v>19</v>
      </c>
      <c r="H216" t="n">
        <v>1</v>
      </c>
      <c r="I216" t="n">
        <v>0.99656</v>
      </c>
      <c r="J216" t="n">
        <v>1</v>
      </c>
      <c r="K216" t="n">
        <v>89</v>
      </c>
      <c r="L216" t="inlineStr">
        <is>
          <t>projected turn slack (min)=-49 (+3.76); aircraft's latest known departure delay=89 (+1.01); inbound leg departure delay (if departed by cutoff)=89 (+0.79)</t>
        </is>
      </c>
    </row>
    <row r="217">
      <c r="A217" t="inlineStr">
        <is>
          <t>2debe689dcedb9c165c2df32d3f3c0d4</t>
        </is>
      </c>
      <c r="B217" t="inlineStr">
        <is>
          <t>2024-04-11</t>
        </is>
      </c>
      <c r="C217" t="inlineStr">
        <is>
          <t>UA</t>
        </is>
      </c>
      <c r="D217" t="inlineStr">
        <is>
          <t>MCO</t>
        </is>
      </c>
      <c r="E217" t="inlineStr">
        <is>
          <t>DEN</t>
        </is>
      </c>
      <c r="F217" t="inlineStr">
        <is>
          <t>MCO-DEN</t>
        </is>
      </c>
      <c r="G217" t="n">
        <v>17</v>
      </c>
      <c r="H217" t="n">
        <v>1</v>
      </c>
      <c r="I217" t="n">
        <v>0.99654</v>
      </c>
      <c r="J217" t="n">
        <v>1</v>
      </c>
      <c r="K217" t="n">
        <v>121</v>
      </c>
      <c r="L217" t="inlineStr">
        <is>
          <t>projected turn slack (min)=-43 (+3.52); inbound leg departure delay (if departed by cutoff)=121 (+0.64); aircraft's latest known departure delay=121 (+0.57)</t>
        </is>
      </c>
    </row>
    <row r="218">
      <c r="A218" t="inlineStr">
        <is>
          <t>6e134026fff19082f690d73b9693685d</t>
        </is>
      </c>
      <c r="B218" t="inlineStr">
        <is>
          <t>2024-04-26</t>
        </is>
      </c>
      <c r="C218" t="inlineStr">
        <is>
          <t>AA</t>
        </is>
      </c>
      <c r="D218" t="inlineStr">
        <is>
          <t>SFO</t>
        </is>
      </c>
      <c r="E218" t="inlineStr">
        <is>
          <t>DFW</t>
        </is>
      </c>
      <c r="F218" t="inlineStr">
        <is>
          <t>SFO-DFW</t>
        </is>
      </c>
      <c r="G218" t="n">
        <v>17</v>
      </c>
      <c r="H218" t="n">
        <v>1</v>
      </c>
      <c r="I218" t="n">
        <v>0.99654</v>
      </c>
      <c r="J218" t="n">
        <v>1</v>
      </c>
      <c r="K218" t="n">
        <v>96</v>
      </c>
      <c r="L218" t="inlineStr">
        <is>
          <t>projected turn slack (min)=-44 (+3.59); aircraft's latest known departure delay=96 (+0.84); inbound leg departure delay (if departed by cutoff)=96 (+0.70)</t>
        </is>
      </c>
    </row>
    <row r="219">
      <c r="A219" t="inlineStr">
        <is>
          <t>b1223084aa526509c2aa8cf1d681403a</t>
        </is>
      </c>
      <c r="B219" t="inlineStr">
        <is>
          <t>2024-04-26</t>
        </is>
      </c>
      <c r="C219" t="inlineStr">
        <is>
          <t>AA</t>
        </is>
      </c>
      <c r="D219" t="inlineStr">
        <is>
          <t>MSY</t>
        </is>
      </c>
      <c r="E219" t="inlineStr">
        <is>
          <t>DCA</t>
        </is>
      </c>
      <c r="F219" t="inlineStr">
        <is>
          <t>MSY-DCA</t>
        </is>
      </c>
      <c r="G219" t="n">
        <v>17</v>
      </c>
      <c r="H219" t="n">
        <v>1</v>
      </c>
      <c r="I219" t="n">
        <v>0.99654</v>
      </c>
      <c r="J219" t="n">
        <v>1</v>
      </c>
      <c r="K219" t="n">
        <v>91</v>
      </c>
      <c r="L219" t="inlineStr">
        <is>
          <t>projected turn slack (min)=-51 (+3.96); aircraft's latest known departure delay=91 (+1.06); inbound leg departure delay (if departed by cutoff)=91 (+0.81)</t>
        </is>
      </c>
    </row>
    <row r="220">
      <c r="A220" t="inlineStr">
        <is>
          <t>c360e16218cf33ae782600f446bc09fe</t>
        </is>
      </c>
      <c r="B220" t="inlineStr">
        <is>
          <t>2024-04-14</t>
        </is>
      </c>
      <c r="C220" t="inlineStr">
        <is>
          <t>AS</t>
        </is>
      </c>
      <c r="D220" t="inlineStr">
        <is>
          <t>IND</t>
        </is>
      </c>
      <c r="E220" t="inlineStr">
        <is>
          <t>SEA</t>
        </is>
      </c>
      <c r="F220" t="inlineStr">
        <is>
          <t>IND-SEA</t>
        </is>
      </c>
      <c r="G220" t="n">
        <v>18</v>
      </c>
      <c r="H220" t="n">
        <v>1</v>
      </c>
      <c r="I220" t="n">
        <v>0.99654</v>
      </c>
      <c r="J220" t="n">
        <v>1</v>
      </c>
      <c r="K220" t="n">
        <v>129</v>
      </c>
      <c r="L220" t="inlineStr">
        <is>
          <t>projected turn slack (min)=-69 (+4.25); aircraft's latest known departure delay=129 (+1.02); inbound leg departure delay (if departed by cutoff)=129 (+0.83)</t>
        </is>
      </c>
    </row>
    <row r="221">
      <c r="A221" t="inlineStr">
        <is>
          <t>d8db65c956689703d92d49e0af294f22</t>
        </is>
      </c>
      <c r="B221" t="inlineStr">
        <is>
          <t>2024-04-27</t>
        </is>
      </c>
      <c r="C221" t="inlineStr">
        <is>
          <t>F9</t>
        </is>
      </c>
      <c r="D221" t="inlineStr">
        <is>
          <t>LAX</t>
        </is>
      </c>
      <c r="E221" t="inlineStr">
        <is>
          <t>DFW</t>
        </is>
      </c>
      <c r="F221" t="inlineStr">
        <is>
          <t>LAX-DFW</t>
        </is>
      </c>
      <c r="G221" t="n">
        <v>22</v>
      </c>
      <c r="H221" t="n">
        <v>1</v>
      </c>
      <c r="I221" t="n">
        <v>0.99654</v>
      </c>
      <c r="J221" t="n">
        <v>1</v>
      </c>
      <c r="K221" t="n">
        <v>91</v>
      </c>
      <c r="L221" t="inlineStr">
        <is>
          <t>projected turn slack (min)=-41 (+4.01); aircraft's latest known departure delay=91 (+0.93); inbound leg departure delay (if departed by cutoff)=91 (+0.69)</t>
        </is>
      </c>
    </row>
    <row r="222">
      <c r="A222" t="inlineStr">
        <is>
          <t>2d16e26057dd21eca4b8b9687b4f4378</t>
        </is>
      </c>
      <c r="B222" t="inlineStr">
        <is>
          <t>2024-04-21</t>
        </is>
      </c>
      <c r="C222" t="inlineStr">
        <is>
          <t>WN</t>
        </is>
      </c>
      <c r="D222" t="inlineStr">
        <is>
          <t>BUF</t>
        </is>
      </c>
      <c r="E222" t="inlineStr">
        <is>
          <t>MCO</t>
        </is>
      </c>
      <c r="F222" t="inlineStr">
        <is>
          <t>BUF-MCO</t>
        </is>
      </c>
      <c r="G222" t="n">
        <v>15</v>
      </c>
      <c r="H222" t="n">
        <v>1</v>
      </c>
      <c r="I222" t="n">
        <v>0.99653</v>
      </c>
      <c r="J222" t="n">
        <v>1</v>
      </c>
      <c r="K222" t="n">
        <v>80</v>
      </c>
      <c r="L222" t="inlineStr">
        <is>
          <t>projected turn slack (min)=-35 (+3.80); aircraft's latest known departure delay=80 (+0.89); inbound leg departure delay (if departed by cutoff)=80 (+0.76)</t>
        </is>
      </c>
    </row>
    <row r="223">
      <c r="A223" t="inlineStr">
        <is>
          <t>63685dcefdd47296b8ab20c9dea54e93</t>
        </is>
      </c>
      <c r="B223" t="inlineStr">
        <is>
          <t>2024-04-20</t>
        </is>
      </c>
      <c r="C223" t="inlineStr">
        <is>
          <t>AA</t>
        </is>
      </c>
      <c r="D223" t="inlineStr">
        <is>
          <t>DFW</t>
        </is>
      </c>
      <c r="E223" t="inlineStr">
        <is>
          <t>SFO</t>
        </is>
      </c>
      <c r="F223" t="inlineStr">
        <is>
          <t>DFW-SFO</t>
        </is>
      </c>
      <c r="G223" t="n">
        <v>20</v>
      </c>
      <c r="H223" t="n">
        <v>1</v>
      </c>
      <c r="I223" t="n">
        <v>0.99653</v>
      </c>
      <c r="J223" t="n">
        <v>1</v>
      </c>
      <c r="K223" t="n">
        <v>112</v>
      </c>
      <c r="L223" t="inlineStr">
        <is>
          <t>projected turn slack (min)=-41 (+3.57); inbound leg departure delay (if departed by cutoff)=112 (+0.67); aircraft's latest known departure delay=112 (+0.57)</t>
        </is>
      </c>
    </row>
    <row r="224">
      <c r="A224" t="inlineStr">
        <is>
          <t>c0c8b8e1394a3550acd37828f35ca436</t>
        </is>
      </c>
      <c r="B224" t="inlineStr">
        <is>
          <t>2024-04-10</t>
        </is>
      </c>
      <c r="C224" t="inlineStr">
        <is>
          <t>AA</t>
        </is>
      </c>
      <c r="D224" t="inlineStr">
        <is>
          <t>DFW</t>
        </is>
      </c>
      <c r="E224" t="inlineStr">
        <is>
          <t>CLT</t>
        </is>
      </c>
      <c r="F224" t="inlineStr">
        <is>
          <t>DFW-CLT</t>
        </is>
      </c>
      <c r="G224" t="n">
        <v>20</v>
      </c>
      <c r="H224" t="n">
        <v>1</v>
      </c>
      <c r="I224" t="n">
        <v>0.99653</v>
      </c>
      <c r="J224" t="n">
        <v>1</v>
      </c>
      <c r="K224" t="n">
        <v>81</v>
      </c>
      <c r="L224" t="inlineStr">
        <is>
          <t>projected turn slack (min)=-30 (+3.69); inbound leg departure delay (if departed by cutoff)=81 (+0.75); aircraft's latest known departure delay=81 (+0.60)</t>
        </is>
      </c>
    </row>
    <row r="225">
      <c r="A225" t="inlineStr">
        <is>
          <t>c5fb567afb8bff228a77da4b353ccf2b</t>
        </is>
      </c>
      <c r="B225" t="inlineStr">
        <is>
          <t>2024-04-12</t>
        </is>
      </c>
      <c r="C225" t="inlineStr">
        <is>
          <t>B6</t>
        </is>
      </c>
      <c r="D225" t="inlineStr">
        <is>
          <t>SFO</t>
        </is>
      </c>
      <c r="E225" t="inlineStr">
        <is>
          <t>FLL</t>
        </is>
      </c>
      <c r="F225" t="inlineStr">
        <is>
          <t>SFO-FLL</t>
        </is>
      </c>
      <c r="G225" t="n">
        <v>21</v>
      </c>
      <c r="H225" t="n">
        <v>1</v>
      </c>
      <c r="I225" t="n">
        <v>0.99653</v>
      </c>
      <c r="J225" t="n">
        <v>1</v>
      </c>
      <c r="K225" t="n">
        <v>101</v>
      </c>
      <c r="L225" t="inlineStr">
        <is>
          <t>projected turn slack (min)=-31 (+3.79); aircraft's latest known departure delay=101 (+0.81); inbound leg departure delay (if departed by cutoff)=101 (+0.74)</t>
        </is>
      </c>
    </row>
    <row r="226">
      <c r="A226" t="inlineStr">
        <is>
          <t>717707a7d2c4db2a8bbdea55c8f575c8</t>
        </is>
      </c>
      <c r="B226" t="inlineStr">
        <is>
          <t>2024-04-12</t>
        </is>
      </c>
      <c r="C226" t="inlineStr">
        <is>
          <t>DL</t>
        </is>
      </c>
      <c r="D226" t="inlineStr">
        <is>
          <t>BOS</t>
        </is>
      </c>
      <c r="E226" t="inlineStr">
        <is>
          <t>RDU</t>
        </is>
      </c>
      <c r="F226" t="inlineStr">
        <is>
          <t>BOS-RDU</t>
        </is>
      </c>
      <c r="G226" t="n">
        <v>20</v>
      </c>
      <c r="H226" t="n">
        <v>1</v>
      </c>
      <c r="I226" t="n">
        <v>0.99652</v>
      </c>
      <c r="J226" t="n">
        <v>1</v>
      </c>
      <c r="K226" t="n">
        <v>90</v>
      </c>
      <c r="L226" t="inlineStr">
        <is>
          <t>projected turn slack (min)=-40 (+3.78); inbound leg departure delay (if departed by cutoff)=90 (+0.83); aircraft's latest known departure delay=90 (+0.78)</t>
        </is>
      </c>
    </row>
    <row r="227">
      <c r="A227" t="inlineStr">
        <is>
          <t>90fef919725887f29075272957381c65</t>
        </is>
      </c>
      <c r="B227" t="inlineStr">
        <is>
          <t>2024-04-26</t>
        </is>
      </c>
      <c r="C227" t="inlineStr">
        <is>
          <t>AA</t>
        </is>
      </c>
      <c r="D227" t="inlineStr">
        <is>
          <t>BWI</t>
        </is>
      </c>
      <c r="E227" t="inlineStr">
        <is>
          <t>DFW</t>
        </is>
      </c>
      <c r="F227" t="inlineStr">
        <is>
          <t>BWI-DFW</t>
        </is>
      </c>
      <c r="G227" t="n">
        <v>19</v>
      </c>
      <c r="H227" t="n">
        <v>1</v>
      </c>
      <c r="I227" t="n">
        <v>0.99652</v>
      </c>
      <c r="J227" t="n">
        <v>1</v>
      </c>
      <c r="K227" t="n">
        <v>96</v>
      </c>
      <c r="L227" t="inlineStr">
        <is>
          <t>projected turn slack (min)=-46 (+3.80); aircraft's latest known departure delay=96 (+0.81); inbound leg departure delay (if departed by cutoff)=96 (+0.78)</t>
        </is>
      </c>
    </row>
    <row r="228">
      <c r="A228" t="inlineStr">
        <is>
          <t>33734dc70832c174dc116a9a56fd0331</t>
        </is>
      </c>
      <c r="B228" t="inlineStr">
        <is>
          <t>2024-04-28</t>
        </is>
      </c>
      <c r="C228" t="inlineStr">
        <is>
          <t>WN</t>
        </is>
      </c>
      <c r="D228" t="inlineStr">
        <is>
          <t>BNA</t>
        </is>
      </c>
      <c r="E228" t="inlineStr">
        <is>
          <t>JAX</t>
        </is>
      </c>
      <c r="F228" t="inlineStr">
        <is>
          <t>BNA-JAX</t>
        </is>
      </c>
      <c r="G228" t="n">
        <v>19</v>
      </c>
      <c r="H228" t="n">
        <v>1</v>
      </c>
      <c r="I228" t="n">
        <v>0.99651</v>
      </c>
      <c r="J228" t="n">
        <v>1</v>
      </c>
      <c r="K228" t="n">
        <v>113</v>
      </c>
      <c r="L228" t="inlineStr">
        <is>
          <t>projected turn slack (min)=-68 (+4.03); aircraft's latest known departure delay=113 (+1.04); inbound leg departure delay (if departed by cutoff)=113 (+0.82)</t>
        </is>
      </c>
    </row>
    <row r="229">
      <c r="A229" t="inlineStr">
        <is>
          <t>551d0f449d3ecb66d2ea4212e28f6d72</t>
        </is>
      </c>
      <c r="B229" t="inlineStr">
        <is>
          <t>2024-04-20</t>
        </is>
      </c>
      <c r="C229" t="inlineStr">
        <is>
          <t>WN</t>
        </is>
      </c>
      <c r="D229" t="inlineStr">
        <is>
          <t>PHX</t>
        </is>
      </c>
      <c r="E229" t="inlineStr">
        <is>
          <t>OAK</t>
        </is>
      </c>
      <c r="F229" t="inlineStr">
        <is>
          <t>PHX-OAK</t>
        </is>
      </c>
      <c r="G229" t="n">
        <v>19</v>
      </c>
      <c r="H229" t="n">
        <v>1</v>
      </c>
      <c r="I229" t="n">
        <v>0.99651</v>
      </c>
      <c r="J229" t="n">
        <v>1</v>
      </c>
      <c r="K229" t="n">
        <v>85</v>
      </c>
      <c r="L229" t="inlineStr">
        <is>
          <t>projected turn slack (min)=-45 (+3.95); aircraft's latest known departure delay=85 (+0.94); inbound leg departure delay (if departed by cutoff)=85 (+0.88)</t>
        </is>
      </c>
    </row>
    <row r="230">
      <c r="A230" t="inlineStr">
        <is>
          <t>a2c9e3740c9cf322c1d64518885439a4</t>
        </is>
      </c>
      <c r="B230" t="inlineStr">
        <is>
          <t>2024-04-20</t>
        </is>
      </c>
      <c r="C230" t="inlineStr">
        <is>
          <t>AA</t>
        </is>
      </c>
      <c r="D230" t="inlineStr">
        <is>
          <t>FLL</t>
        </is>
      </c>
      <c r="E230" t="inlineStr">
        <is>
          <t>PHL</t>
        </is>
      </c>
      <c r="F230" t="inlineStr">
        <is>
          <t>FLL-PHL</t>
        </is>
      </c>
      <c r="G230" t="n">
        <v>17</v>
      </c>
      <c r="H230" t="n">
        <v>1</v>
      </c>
      <c r="I230" t="n">
        <v>0.99651</v>
      </c>
      <c r="J230" t="n">
        <v>1</v>
      </c>
      <c r="K230" t="n">
        <v>92</v>
      </c>
      <c r="L230" t="inlineStr">
        <is>
          <t>projected turn slack (min)=-41 (+4.13); aircraft's latest known departure delay=92 (+0.91); inbound leg departure delay (if departed by cutoff)=92 (+0.83)</t>
        </is>
      </c>
    </row>
    <row r="231">
      <c r="A231" t="inlineStr">
        <is>
          <t>be35fa1cfe9f5db4336bc9f606908b8b</t>
        </is>
      </c>
      <c r="B231" t="inlineStr">
        <is>
          <t>2024-04-11</t>
        </is>
      </c>
      <c r="C231" t="inlineStr">
        <is>
          <t>WN</t>
        </is>
      </c>
      <c r="D231" t="inlineStr">
        <is>
          <t>FLL</t>
        </is>
      </c>
      <c r="E231" t="inlineStr">
        <is>
          <t>PIT</t>
        </is>
      </c>
      <c r="F231" t="inlineStr">
        <is>
          <t>FLL-PIT</t>
        </is>
      </c>
      <c r="G231" t="n">
        <v>17</v>
      </c>
      <c r="H231" t="n">
        <v>1</v>
      </c>
      <c r="I231" t="n">
        <v>0.99651</v>
      </c>
      <c r="J231" t="n">
        <v>1</v>
      </c>
      <c r="K231" t="n">
        <v>64</v>
      </c>
      <c r="L231" t="inlineStr">
        <is>
          <t>projected turn slack (min)=-19 (+3.01); inbound leg departure delay (if departed by cutoff)=64 (+0.54); aircraft's latest known departure delay=64 (+0.53)</t>
        </is>
      </c>
    </row>
    <row r="232">
      <c r="A232" t="inlineStr">
        <is>
          <t>c55a52148e9d5156201845c43cccab8c</t>
        </is>
      </c>
      <c r="B232" t="inlineStr">
        <is>
          <t>2024-04-03</t>
        </is>
      </c>
      <c r="C232" t="inlineStr">
        <is>
          <t>B6</t>
        </is>
      </c>
      <c r="D232" t="inlineStr">
        <is>
          <t>RSW</t>
        </is>
      </c>
      <c r="E232" t="inlineStr">
        <is>
          <t>BOS</t>
        </is>
      </c>
      <c r="F232" t="inlineStr">
        <is>
          <t>RSW-BOS</t>
        </is>
      </c>
      <c r="G232" t="n">
        <v>21</v>
      </c>
      <c r="H232" t="n">
        <v>1</v>
      </c>
      <c r="I232" t="n">
        <v>0.99651</v>
      </c>
      <c r="J232" t="n">
        <v>1</v>
      </c>
      <c r="K232" t="n">
        <v>136</v>
      </c>
      <c r="L232" t="inlineStr">
        <is>
          <t>projected turn slack (min)=-87 (+3.03); aircraft's latest known departure delay=136 (+0.97); inbound leg departure delay (if departed by cutoff)=136 (+0.63)</t>
        </is>
      </c>
    </row>
    <row r="233">
      <c r="A233" t="inlineStr">
        <is>
          <t>d97b5847151b9713c457e1635384522a</t>
        </is>
      </c>
      <c r="B233" t="inlineStr">
        <is>
          <t>2024-04-20</t>
        </is>
      </c>
      <c r="C233" t="inlineStr">
        <is>
          <t>F9</t>
        </is>
      </c>
      <c r="D233" t="inlineStr">
        <is>
          <t>PSE</t>
        </is>
      </c>
      <c r="E233" t="inlineStr">
        <is>
          <t>MCO</t>
        </is>
      </c>
      <c r="F233" t="inlineStr">
        <is>
          <t>PSE-MCO</t>
        </is>
      </c>
      <c r="G233" t="n">
        <v>17</v>
      </c>
      <c r="H233" t="n">
        <v>1</v>
      </c>
      <c r="I233" t="n">
        <v>0.99651</v>
      </c>
      <c r="J233" t="n">
        <v>1</v>
      </c>
      <c r="K233" t="n">
        <v>89</v>
      </c>
      <c r="L233" t="inlineStr">
        <is>
          <t>projected turn slack (min)=-29 (+3.97); aircraft's latest known departure delay=89 (+0.92); inbound leg departure delay (if departed by cutoff)=89 (+0.63)</t>
        </is>
      </c>
    </row>
    <row r="234">
      <c r="A234" t="inlineStr">
        <is>
          <t>64eb74b3779a6f635acc54616f2a29c5</t>
        </is>
      </c>
      <c r="B234" t="inlineStr">
        <is>
          <t>2024-04-21</t>
        </is>
      </c>
      <c r="C234" t="inlineStr">
        <is>
          <t>WN</t>
        </is>
      </c>
      <c r="D234" t="inlineStr">
        <is>
          <t>LAX</t>
        </is>
      </c>
      <c r="E234" t="inlineStr">
        <is>
          <t>SAT</t>
        </is>
      </c>
      <c r="F234" t="inlineStr">
        <is>
          <t>LAX-SAT</t>
        </is>
      </c>
      <c r="G234" t="n">
        <v>17</v>
      </c>
      <c r="H234" t="n">
        <v>1</v>
      </c>
      <c r="I234" t="n">
        <v>0.9965000000000001</v>
      </c>
      <c r="J234" t="n">
        <v>1</v>
      </c>
      <c r="K234" t="n">
        <v>139</v>
      </c>
      <c r="L234" t="inlineStr">
        <is>
          <t>projected turn slack (min)=-89 (+3.69); aircraft's latest known departure delay=139 (+1.12); inbound leg departure delay (if departed by cutoff)=139 (+0.75)</t>
        </is>
      </c>
    </row>
    <row r="235">
      <c r="A235" t="inlineStr">
        <is>
          <t>67878324c4caeeac7c9a4093349e2aba</t>
        </is>
      </c>
      <c r="B235" t="inlineStr">
        <is>
          <t>2024-04-03</t>
        </is>
      </c>
      <c r="C235" t="inlineStr">
        <is>
          <t>DL</t>
        </is>
      </c>
      <c r="D235" t="inlineStr">
        <is>
          <t>FLL</t>
        </is>
      </c>
      <c r="E235" t="inlineStr">
        <is>
          <t>SEA</t>
        </is>
      </c>
      <c r="F235" t="inlineStr">
        <is>
          <t>FLL-SEA</t>
        </is>
      </c>
      <c r="G235" t="n">
        <v>18</v>
      </c>
      <c r="H235" t="n">
        <v>1</v>
      </c>
      <c r="I235" t="n">
        <v>0.9965000000000001</v>
      </c>
      <c r="J235" t="n">
        <v>1</v>
      </c>
      <c r="K235" t="n">
        <v>228</v>
      </c>
      <c r="L235" t="inlineStr">
        <is>
          <t>projected turn slack (min)=-157 (+3.38); aircraft's latest known departure delay=228 (+0.75); inbound leg departure delay (if departed by cutoff)=228 (+0.72)</t>
        </is>
      </c>
    </row>
    <row r="236">
      <c r="A236" t="inlineStr">
        <is>
          <t>94433cbee45d7ca5518a7377d2196393</t>
        </is>
      </c>
      <c r="B236" t="inlineStr">
        <is>
          <t>2024-04-07</t>
        </is>
      </c>
      <c r="C236" t="inlineStr">
        <is>
          <t>B6</t>
        </is>
      </c>
      <c r="D236" t="inlineStr">
        <is>
          <t>RSW</t>
        </is>
      </c>
      <c r="E236" t="inlineStr">
        <is>
          <t>BOS</t>
        </is>
      </c>
      <c r="F236" t="inlineStr">
        <is>
          <t>RSW-BOS</t>
        </is>
      </c>
      <c r="G236" t="n">
        <v>19</v>
      </c>
      <c r="H236" t="n">
        <v>1</v>
      </c>
      <c r="I236" t="n">
        <v>0.9965000000000001</v>
      </c>
      <c r="J236" t="n">
        <v>1</v>
      </c>
      <c r="K236" t="n">
        <v>106</v>
      </c>
      <c r="L236" t="inlineStr">
        <is>
          <t>projected turn slack (min)=-61 (+4.12); aircraft's latest known departure delay=106 (+1.09); inbound leg departure delay (if departed by cutoff)=106 (+0.79)</t>
        </is>
      </c>
    </row>
    <row r="237">
      <c r="A237" t="inlineStr">
        <is>
          <t>b803f802d9d3bf7450b855ce4d8dd475</t>
        </is>
      </c>
      <c r="B237" t="inlineStr">
        <is>
          <t>2024-04-18</t>
        </is>
      </c>
      <c r="C237" t="inlineStr">
        <is>
          <t>DL</t>
        </is>
      </c>
      <c r="D237" t="inlineStr">
        <is>
          <t>LAX</t>
        </is>
      </c>
      <c r="E237" t="inlineStr">
        <is>
          <t>SFO</t>
        </is>
      </c>
      <c r="F237" t="inlineStr">
        <is>
          <t>LAX-SFO</t>
        </is>
      </c>
      <c r="G237" t="n">
        <v>16</v>
      </c>
      <c r="H237" t="n">
        <v>1</v>
      </c>
      <c r="I237" t="n">
        <v>0.99649</v>
      </c>
      <c r="J237" t="n">
        <v>1</v>
      </c>
      <c r="K237" t="n">
        <v>126</v>
      </c>
      <c r="L237" t="inlineStr">
        <is>
          <t>projected turn slack (min)=-66 (+3.62); aircraft's latest known departure delay=126 (+0.75); inbound leg departure delay (if departed by cutoff)=126 (+0.70)</t>
        </is>
      </c>
    </row>
    <row r="238">
      <c r="A238" t="inlineStr">
        <is>
          <t>ba2c2036740e1b66e56e9d918df27a60</t>
        </is>
      </c>
      <c r="B238" t="inlineStr">
        <is>
          <t>2024-04-21</t>
        </is>
      </c>
      <c r="C238" t="inlineStr">
        <is>
          <t>WN</t>
        </is>
      </c>
      <c r="D238" t="inlineStr">
        <is>
          <t>DEN</t>
        </is>
      </c>
      <c r="E238" t="inlineStr">
        <is>
          <t>ICT</t>
        </is>
      </c>
      <c r="F238" t="inlineStr">
        <is>
          <t>DEN-ICT</t>
        </is>
      </c>
      <c r="G238" t="n">
        <v>20</v>
      </c>
      <c r="H238" t="n">
        <v>1</v>
      </c>
      <c r="I238" t="n">
        <v>0.99649</v>
      </c>
      <c r="J238" t="n">
        <v>1</v>
      </c>
      <c r="K238" t="n">
        <v>124</v>
      </c>
      <c r="L238" t="inlineStr">
        <is>
          <t>projected turn slack (min)=-74 (+3.66); aircraft's latest known departure delay=124 (+0.99); inbound leg departure delay (if departed by cutoff)=124 (+0.77)</t>
        </is>
      </c>
    </row>
    <row r="239">
      <c r="A239" t="inlineStr">
        <is>
          <t>da12496bb7dad11969639137f2894a43</t>
        </is>
      </c>
      <c r="B239" t="inlineStr">
        <is>
          <t>2024-04-20</t>
        </is>
      </c>
      <c r="C239" t="inlineStr">
        <is>
          <t>WN</t>
        </is>
      </c>
      <c r="D239" t="inlineStr">
        <is>
          <t>HOU</t>
        </is>
      </c>
      <c r="E239" t="inlineStr">
        <is>
          <t>ELP</t>
        </is>
      </c>
      <c r="F239" t="inlineStr">
        <is>
          <t>HOU-ELP</t>
        </is>
      </c>
      <c r="G239" t="n">
        <v>20</v>
      </c>
      <c r="H239" t="n">
        <v>1</v>
      </c>
      <c r="I239" t="n">
        <v>0.99649</v>
      </c>
      <c r="J239" t="n">
        <v>1</v>
      </c>
      <c r="K239" t="n">
        <v>121</v>
      </c>
      <c r="L239" t="inlineStr">
        <is>
          <t>projected turn slack (min)=-61 (+3.63); aircraft's latest known departure delay=121 (+0.97); inbound leg departure delay (if departed by cutoff)=121 (+0.77)</t>
        </is>
      </c>
    </row>
    <row r="240">
      <c r="A240" t="inlineStr">
        <is>
          <t>08a9f88aac7be9fcf6d932d39b187d73</t>
        </is>
      </c>
      <c r="B240" t="inlineStr">
        <is>
          <t>2024-04-06</t>
        </is>
      </c>
      <c r="C240" t="inlineStr">
        <is>
          <t>UA</t>
        </is>
      </c>
      <c r="D240" t="inlineStr">
        <is>
          <t>RSW</t>
        </is>
      </c>
      <c r="E240" t="inlineStr">
        <is>
          <t>ORD</t>
        </is>
      </c>
      <c r="F240" t="inlineStr">
        <is>
          <t>RSW-ORD</t>
        </is>
      </c>
      <c r="G240" t="n">
        <v>16</v>
      </c>
      <c r="H240" t="n">
        <v>1</v>
      </c>
      <c r="I240" t="n">
        <v>0.99648</v>
      </c>
      <c r="J240" t="n">
        <v>1</v>
      </c>
      <c r="K240" t="n">
        <v>112</v>
      </c>
      <c r="L240" t="inlineStr">
        <is>
          <t>projected turn slack (min)=-42 (+4.18); aircraft's latest known departure delay=112 (+0.84); inbound leg departure delay (if departed by cutoff)=112 (+0.74)</t>
        </is>
      </c>
    </row>
    <row r="241">
      <c r="A241" t="inlineStr">
        <is>
          <t>ea79d314f8e4f9f8e1284e5739abf43d</t>
        </is>
      </c>
      <c r="B241" t="inlineStr">
        <is>
          <t>2024-04-18</t>
        </is>
      </c>
      <c r="C241" t="inlineStr">
        <is>
          <t>AA</t>
        </is>
      </c>
      <c r="D241" t="inlineStr">
        <is>
          <t>AUS</t>
        </is>
      </c>
      <c r="E241" t="inlineStr">
        <is>
          <t>JFK</t>
        </is>
      </c>
      <c r="F241" t="inlineStr">
        <is>
          <t>AUS-JFK</t>
        </is>
      </c>
      <c r="G241" t="n">
        <v>17</v>
      </c>
      <c r="H241" t="n">
        <v>1</v>
      </c>
      <c r="I241" t="n">
        <v>0.99648</v>
      </c>
      <c r="J241" t="n">
        <v>1</v>
      </c>
      <c r="K241" t="n">
        <v>102</v>
      </c>
      <c r="L241" t="inlineStr">
        <is>
          <t>projected turn slack (min)=-51 (+4.07); aircraft's latest known departure delay=102 (+1.00); inbound leg departure delay (if departed by cutoff)=102 (+0.80)</t>
        </is>
      </c>
    </row>
    <row r="242">
      <c r="A242" t="inlineStr">
        <is>
          <t>3ad13ea0d684735cbf547af0938571b9</t>
        </is>
      </c>
      <c r="B242" t="inlineStr">
        <is>
          <t>2024-04-13</t>
        </is>
      </c>
      <c r="C242" t="inlineStr">
        <is>
          <t>AS</t>
        </is>
      </c>
      <c r="D242" t="inlineStr">
        <is>
          <t>EWR</t>
        </is>
      </c>
      <c r="E242" t="inlineStr">
        <is>
          <t>SAN</t>
        </is>
      </c>
      <c r="F242" t="inlineStr">
        <is>
          <t>EWR-SAN</t>
        </is>
      </c>
      <c r="G242" t="n">
        <v>17</v>
      </c>
      <c r="H242" t="n">
        <v>1</v>
      </c>
      <c r="I242" t="n">
        <v>0.99646</v>
      </c>
      <c r="J242" t="n">
        <v>1</v>
      </c>
      <c r="K242" t="n">
        <v>117</v>
      </c>
      <c r="L242" t="inlineStr">
        <is>
          <t>projected turn slack (min)=-52 (+4.01); aircraft's latest known departure delay=117 (+0.90); inbound leg departure delay (if departed by cutoff)=117 (+0.74)</t>
        </is>
      </c>
    </row>
    <row r="243">
      <c r="A243" t="inlineStr">
        <is>
          <t>6365a2744e662d9d0c9f5cbc7619a14d</t>
        </is>
      </c>
      <c r="B243" t="inlineStr">
        <is>
          <t>2024-04-26</t>
        </is>
      </c>
      <c r="C243" t="inlineStr">
        <is>
          <t>AA</t>
        </is>
      </c>
      <c r="D243" t="inlineStr">
        <is>
          <t>DFW</t>
        </is>
      </c>
      <c r="E243" t="inlineStr">
        <is>
          <t>TUS</t>
        </is>
      </c>
      <c r="F243" t="inlineStr">
        <is>
          <t>DFW-TUS</t>
        </is>
      </c>
      <c r="G243" t="n">
        <v>18</v>
      </c>
      <c r="H243" t="n">
        <v>1</v>
      </c>
      <c r="I243" t="n">
        <v>0.99646</v>
      </c>
      <c r="J243" t="n">
        <v>1</v>
      </c>
      <c r="K243" t="n">
        <v>88</v>
      </c>
      <c r="L243" t="inlineStr">
        <is>
          <t>projected turn slack (min)=-48 (+3.57); inbound leg departure delay (if departed by cutoff)=88 (+0.78); aircraft's latest known departure delay=88 (+0.71)</t>
        </is>
      </c>
    </row>
    <row r="244">
      <c r="A244" t="inlineStr">
        <is>
          <t>40c7ed8a51821877abd74fed4322750d</t>
        </is>
      </c>
      <c r="B244" t="inlineStr">
        <is>
          <t>2024-04-13</t>
        </is>
      </c>
      <c r="C244" t="inlineStr">
        <is>
          <t>F9</t>
        </is>
      </c>
      <c r="D244" t="inlineStr">
        <is>
          <t>PSE</t>
        </is>
      </c>
      <c r="E244" t="inlineStr">
        <is>
          <t>MCO</t>
        </is>
      </c>
      <c r="F244" t="inlineStr">
        <is>
          <t>PSE-MCO</t>
        </is>
      </c>
      <c r="G244" t="n">
        <v>17</v>
      </c>
      <c r="H244" t="n">
        <v>1</v>
      </c>
      <c r="I244" t="n">
        <v>0.9964499999999999</v>
      </c>
      <c r="J244" t="n">
        <v>1</v>
      </c>
      <c r="K244" t="n">
        <v>104</v>
      </c>
      <c r="L244" t="inlineStr">
        <is>
          <t>projected turn slack (min)=-44 (+4.16); aircraft's latest known departure delay=104 (+1.09); inbound leg departure delay (if departed by cutoff)=104 (+0.68)</t>
        </is>
      </c>
    </row>
    <row r="245">
      <c r="A245" t="inlineStr">
        <is>
          <t>856c3864e7863f61ac8219eb72886f91</t>
        </is>
      </c>
      <c r="B245" t="inlineStr">
        <is>
          <t>2024-04-26</t>
        </is>
      </c>
      <c r="C245" t="inlineStr">
        <is>
          <t>WN</t>
        </is>
      </c>
      <c r="D245" t="inlineStr">
        <is>
          <t>LAS</t>
        </is>
      </c>
      <c r="E245" t="inlineStr">
        <is>
          <t>MCO</t>
        </is>
      </c>
      <c r="F245" t="inlineStr">
        <is>
          <t>LAS-MCO</t>
        </is>
      </c>
      <c r="G245" t="n">
        <v>16</v>
      </c>
      <c r="H245" t="n">
        <v>1</v>
      </c>
      <c r="I245" t="n">
        <v>0.99644</v>
      </c>
      <c r="J245" t="n">
        <v>1</v>
      </c>
      <c r="K245" t="n">
        <v>113</v>
      </c>
      <c r="L245" t="inlineStr">
        <is>
          <t>projected turn slack (min)=-43 (+3.68); aircraft's latest known departure delay=113 (+0.82); inbound leg departure delay (if departed by cutoff)=113 (+0.73)</t>
        </is>
      </c>
    </row>
    <row r="246">
      <c r="A246" t="inlineStr">
        <is>
          <t>971f258824c4be2ec4e320b7a3738afa</t>
        </is>
      </c>
      <c r="B246" t="inlineStr">
        <is>
          <t>2024-04-13</t>
        </is>
      </c>
      <c r="C246" t="inlineStr">
        <is>
          <t>F9</t>
        </is>
      </c>
      <c r="D246" t="inlineStr">
        <is>
          <t>SFO</t>
        </is>
      </c>
      <c r="E246" t="inlineStr">
        <is>
          <t>LAS</t>
        </is>
      </c>
      <c r="F246" t="inlineStr">
        <is>
          <t>SFO-LAS</t>
        </is>
      </c>
      <c r="G246" t="n">
        <v>21</v>
      </c>
      <c r="H246" t="n">
        <v>1</v>
      </c>
      <c r="I246" t="n">
        <v>0.99644</v>
      </c>
      <c r="J246" t="n">
        <v>1</v>
      </c>
      <c r="K246" t="n">
        <v>101</v>
      </c>
      <c r="L246" t="inlineStr">
        <is>
          <t>projected turn slack (min)=-51 (+3.73); aircraft's latest known departure delay=101 (+1.03); inbound leg departure delay (if departed by cutoff)=101 (+0.69)</t>
        </is>
      </c>
    </row>
    <row r="247">
      <c r="A247" t="inlineStr">
        <is>
          <t>150942c0db44ca55e85b0f27283840bb</t>
        </is>
      </c>
      <c r="B247" t="inlineStr">
        <is>
          <t>2024-04-12</t>
        </is>
      </c>
      <c r="C247" t="inlineStr">
        <is>
          <t>DL</t>
        </is>
      </c>
      <c r="D247" t="inlineStr">
        <is>
          <t>FLL</t>
        </is>
      </c>
      <c r="E247" t="inlineStr">
        <is>
          <t>BOS</t>
        </is>
      </c>
      <c r="F247" t="inlineStr">
        <is>
          <t>FLL-BOS</t>
        </is>
      </c>
      <c r="G247" t="n">
        <v>16</v>
      </c>
      <c r="H247" t="n">
        <v>1</v>
      </c>
      <c r="I247" t="n">
        <v>0.99643</v>
      </c>
      <c r="J247" t="n">
        <v>1</v>
      </c>
      <c r="K247" t="n">
        <v>118</v>
      </c>
      <c r="L247" t="inlineStr">
        <is>
          <t>projected turn slack (min)=-52 (+3.90); aircraft's latest known departure delay=118 (+0.80); inbound leg departure delay (if departed by cutoff)=118 (+0.78)</t>
        </is>
      </c>
    </row>
    <row r="248">
      <c r="A248" t="inlineStr">
        <is>
          <t>2165ae53854c34d5284d4cb605479816</t>
        </is>
      </c>
      <c r="B248" t="inlineStr">
        <is>
          <t>2024-04-06</t>
        </is>
      </c>
      <c r="C248" t="inlineStr">
        <is>
          <t>AA</t>
        </is>
      </c>
      <c r="D248" t="inlineStr">
        <is>
          <t>SNA</t>
        </is>
      </c>
      <c r="E248" t="inlineStr">
        <is>
          <t>DFW</t>
        </is>
      </c>
      <c r="F248" t="inlineStr">
        <is>
          <t>SNA-DFW</t>
        </is>
      </c>
      <c r="G248" t="n">
        <v>16</v>
      </c>
      <c r="H248" t="n">
        <v>1</v>
      </c>
      <c r="I248" t="n">
        <v>0.99643</v>
      </c>
      <c r="J248" t="n">
        <v>1</v>
      </c>
      <c r="K248" t="n">
        <v>102</v>
      </c>
      <c r="L248" t="inlineStr">
        <is>
          <t>projected turn slack (min)=-46 (+4.07); aircraft's latest known departure delay=102 (+1.08); inbound leg departure delay (if departed by cutoff)=102 (+0.80)</t>
        </is>
      </c>
    </row>
    <row r="249">
      <c r="A249" t="inlineStr">
        <is>
          <t>27184ebaa655326433b7c2f4f9a15b1b</t>
        </is>
      </c>
      <c r="B249" t="inlineStr">
        <is>
          <t>2024-04-28</t>
        </is>
      </c>
      <c r="C249" t="inlineStr">
        <is>
          <t>NK</t>
        </is>
      </c>
      <c r="D249" t="inlineStr">
        <is>
          <t>DFW</t>
        </is>
      </c>
      <c r="E249" t="inlineStr">
        <is>
          <t>SJC</t>
        </is>
      </c>
      <c r="F249" t="inlineStr">
        <is>
          <t>DFW-SJC</t>
        </is>
      </c>
      <c r="G249" t="n">
        <v>19</v>
      </c>
      <c r="H249" t="n">
        <v>1</v>
      </c>
      <c r="I249" t="n">
        <v>0.99642</v>
      </c>
      <c r="J249" t="n">
        <v>1</v>
      </c>
      <c r="K249" t="n">
        <v>116</v>
      </c>
      <c r="L249" t="inlineStr">
        <is>
          <t>projected turn slack (min)=-66 (+3.52); inbound leg departure delay (if departed by cutoff)=116 (+0.73); aircraft's latest known departure delay=116 (+0.69)</t>
        </is>
      </c>
    </row>
    <row r="250">
      <c r="A250" t="inlineStr">
        <is>
          <t>4f7b21f076a7f90fc073a33be65f55f9</t>
        </is>
      </c>
      <c r="B250" t="inlineStr">
        <is>
          <t>2024-04-11</t>
        </is>
      </c>
      <c r="C250" t="inlineStr">
        <is>
          <t>WN</t>
        </is>
      </c>
      <c r="D250" t="inlineStr">
        <is>
          <t>PBI</t>
        </is>
      </c>
      <c r="E250" t="inlineStr">
        <is>
          <t>ISP</t>
        </is>
      </c>
      <c r="F250" t="inlineStr">
        <is>
          <t>PBI-ISP</t>
        </is>
      </c>
      <c r="G250" t="n">
        <v>19</v>
      </c>
      <c r="H250" t="n">
        <v>1</v>
      </c>
      <c r="I250" t="n">
        <v>0.99642</v>
      </c>
      <c r="J250" t="n">
        <v>1</v>
      </c>
      <c r="K250" t="n">
        <v>75</v>
      </c>
      <c r="L250" t="inlineStr">
        <is>
          <t>projected turn slack (min)=-30 (+2.57); aircraft's latest known departure delay=130 (+0.82); inbound leg overdue, not yet departed (min)=75 (+0.71)</t>
        </is>
      </c>
    </row>
    <row r="251">
      <c r="A251" t="inlineStr">
        <is>
          <t>abf71baacf2076e32eb58ada8c79373e</t>
        </is>
      </c>
      <c r="B251" t="inlineStr">
        <is>
          <t>2024-04-10</t>
        </is>
      </c>
      <c r="C251" t="inlineStr">
        <is>
          <t>AA</t>
        </is>
      </c>
      <c r="D251" t="inlineStr">
        <is>
          <t>DFW</t>
        </is>
      </c>
      <c r="E251" t="inlineStr">
        <is>
          <t>MIA</t>
        </is>
      </c>
      <c r="F251" t="inlineStr">
        <is>
          <t>DFW-MIA</t>
        </is>
      </c>
      <c r="G251" t="n">
        <v>17</v>
      </c>
      <c r="H251" t="n">
        <v>1</v>
      </c>
      <c r="I251" t="n">
        <v>0.99642</v>
      </c>
      <c r="J251" t="n">
        <v>1</v>
      </c>
      <c r="K251" t="n">
        <v>91</v>
      </c>
      <c r="L251" t="inlineStr">
        <is>
          <t>projected turn slack (min)=-35 (+3.57); inbound leg departure delay (if departed by cutoff)=91 (+0.70); aircraft's latest known departure delay=91 (+0.67)</t>
        </is>
      </c>
    </row>
    <row r="252">
      <c r="A252" t="inlineStr">
        <is>
          <t>3f95dfc6369054296792f126d845e1cd</t>
        </is>
      </c>
      <c r="B252" t="inlineStr">
        <is>
          <t>2024-04-15</t>
        </is>
      </c>
      <c r="C252" t="inlineStr">
        <is>
          <t>NK</t>
        </is>
      </c>
      <c r="D252" t="inlineStr">
        <is>
          <t>FLL</t>
        </is>
      </c>
      <c r="E252" t="inlineStr">
        <is>
          <t>AUS</t>
        </is>
      </c>
      <c r="F252" t="inlineStr">
        <is>
          <t>FLL-AUS</t>
        </is>
      </c>
      <c r="G252" t="n">
        <v>17</v>
      </c>
      <c r="H252" t="n">
        <v>1</v>
      </c>
      <c r="I252" t="n">
        <v>0.99641</v>
      </c>
      <c r="J252" t="n">
        <v>1</v>
      </c>
      <c r="K252" t="n">
        <v>118</v>
      </c>
      <c r="L252" t="inlineStr">
        <is>
          <t>projected turn slack (min)=-58 (+4.06); aircraft's latest known departure delay=118 (+0.85); inbound leg departure delay (if departed by cutoff)=118 (+0.79)</t>
        </is>
      </c>
    </row>
    <row r="253">
      <c r="A253" t="inlineStr">
        <is>
          <t>8423218b9448f62d66865282592545c4</t>
        </is>
      </c>
      <c r="B253" t="inlineStr">
        <is>
          <t>2024-04-21</t>
        </is>
      </c>
      <c r="C253" t="inlineStr">
        <is>
          <t>AA</t>
        </is>
      </c>
      <c r="D253" t="inlineStr">
        <is>
          <t>PBI</t>
        </is>
      </c>
      <c r="E253" t="inlineStr">
        <is>
          <t>ORD</t>
        </is>
      </c>
      <c r="F253" t="inlineStr">
        <is>
          <t>PBI-ORD</t>
        </is>
      </c>
      <c r="G253" t="n">
        <v>17</v>
      </c>
      <c r="H253" t="n">
        <v>1</v>
      </c>
      <c r="I253" t="n">
        <v>0.99641</v>
      </c>
      <c r="J253" t="n">
        <v>1</v>
      </c>
      <c r="K253" t="n">
        <v>93</v>
      </c>
      <c r="L253" t="inlineStr">
        <is>
          <t>projected turn slack (min)=-43 (+3.78); aircraft's latest known departure delay=93 (+0.94); inbound leg departure delay (if departed by cutoff)=93 (+0.78)</t>
        </is>
      </c>
    </row>
    <row r="254">
      <c r="A254" t="inlineStr">
        <is>
          <t>9d0e6a9d74f81cfd95f91ec3fdd529ce</t>
        </is>
      </c>
      <c r="B254" t="inlineStr">
        <is>
          <t>2024-04-12</t>
        </is>
      </c>
      <c r="C254" t="inlineStr">
        <is>
          <t>B6</t>
        </is>
      </c>
      <c r="D254" t="inlineStr">
        <is>
          <t>BOS</t>
        </is>
      </c>
      <c r="E254" t="inlineStr">
        <is>
          <t>SFO</t>
        </is>
      </c>
      <c r="F254" t="inlineStr">
        <is>
          <t>BOS-SFO</t>
        </is>
      </c>
      <c r="G254" t="n">
        <v>21</v>
      </c>
      <c r="H254" t="n">
        <v>1</v>
      </c>
      <c r="I254" t="n">
        <v>0.99641</v>
      </c>
      <c r="J254" t="n">
        <v>1</v>
      </c>
      <c r="K254" t="n">
        <v>108</v>
      </c>
      <c r="L254" t="inlineStr">
        <is>
          <t>projected turn slack (min)=-38 (+3.72); aircraft's latest known departure delay=108 (+0.85); inbound leg departure delay (if departed by cutoff)=108 (+0.69)</t>
        </is>
      </c>
    </row>
    <row r="255">
      <c r="A255" t="inlineStr">
        <is>
          <t>b8456ccbb11a62b854ffe5197a832d68</t>
        </is>
      </c>
      <c r="B255" t="inlineStr">
        <is>
          <t>2024-04-11</t>
        </is>
      </c>
      <c r="C255" t="inlineStr">
        <is>
          <t>WN</t>
        </is>
      </c>
      <c r="D255" t="inlineStr">
        <is>
          <t>TPA</t>
        </is>
      </c>
      <c r="E255" t="inlineStr">
        <is>
          <t>MSY</t>
        </is>
      </c>
      <c r="F255" t="inlineStr">
        <is>
          <t>TPA-MSY</t>
        </is>
      </c>
      <c r="G255" t="n">
        <v>20</v>
      </c>
      <c r="H255" t="n">
        <v>1</v>
      </c>
      <c r="I255" t="n">
        <v>0.99641</v>
      </c>
      <c r="J255" t="n">
        <v>1</v>
      </c>
      <c r="K255" t="n">
        <v>71</v>
      </c>
      <c r="L255" t="inlineStr">
        <is>
          <t>projected turn slack (min)=-26 (+3.15); aircraft's latest known departure delay=71 (+0.66); inbound leg departure delay (if departed by cutoff)=71 (+0.64)</t>
        </is>
      </c>
    </row>
    <row r="256">
      <c r="A256" t="inlineStr">
        <is>
          <t>f1a38d5d614cae55a41f25811c482697</t>
        </is>
      </c>
      <c r="B256" t="inlineStr">
        <is>
          <t>2024-04-03</t>
        </is>
      </c>
      <c r="C256" t="inlineStr">
        <is>
          <t>NK</t>
        </is>
      </c>
      <c r="D256" t="inlineStr">
        <is>
          <t>TPA</t>
        </is>
      </c>
      <c r="E256" t="inlineStr">
        <is>
          <t>ACY</t>
        </is>
      </c>
      <c r="F256" t="inlineStr">
        <is>
          <t>TPA-ACY</t>
        </is>
      </c>
      <c r="G256" t="n">
        <v>19</v>
      </c>
      <c r="H256" t="n">
        <v>1</v>
      </c>
      <c r="I256" t="n">
        <v>0.99641</v>
      </c>
      <c r="J256" t="n">
        <v>1</v>
      </c>
      <c r="K256" t="n">
        <v>117</v>
      </c>
      <c r="L256" t="inlineStr">
        <is>
          <t>projected turn slack (min)=-67 (+3.40); aircraft's latest known departure delay=117 (+0.79); inbound leg departure delay (if departed by cutoff)=117 (+0.71)</t>
        </is>
      </c>
    </row>
    <row r="257">
      <c r="A257" t="inlineStr">
        <is>
          <t>6273dcf54012f6c98a33ad7d69948323</t>
        </is>
      </c>
      <c r="B257" t="inlineStr">
        <is>
          <t>2024-04-22</t>
        </is>
      </c>
      <c r="C257" t="inlineStr">
        <is>
          <t>B6</t>
        </is>
      </c>
      <c r="D257" t="inlineStr">
        <is>
          <t>MCO</t>
        </is>
      </c>
      <c r="E257" t="inlineStr">
        <is>
          <t>BOS</t>
        </is>
      </c>
      <c r="F257" t="inlineStr">
        <is>
          <t>MCO-BOS</t>
        </is>
      </c>
      <c r="G257" t="n">
        <v>14</v>
      </c>
      <c r="H257" t="n">
        <v>1</v>
      </c>
      <c r="I257" t="n">
        <v>0.9964</v>
      </c>
      <c r="J257" t="n">
        <v>1</v>
      </c>
      <c r="K257" t="n">
        <v>130</v>
      </c>
      <c r="L257" t="inlineStr">
        <is>
          <t>projected turn slack (min)=-66 (+4.11); aircraft's latest known departure delay=130 (+0.90); inbound leg departure delay (if departed by cutoff)=130 (+0.78)</t>
        </is>
      </c>
    </row>
    <row r="258">
      <c r="A258" t="inlineStr">
        <is>
          <t>6b1b056fadb60a598f0aa0b88a02f0ac</t>
        </is>
      </c>
      <c r="B258" t="inlineStr">
        <is>
          <t>2024-04-03</t>
        </is>
      </c>
      <c r="C258" t="inlineStr">
        <is>
          <t>UA</t>
        </is>
      </c>
      <c r="D258" t="inlineStr">
        <is>
          <t>MCO</t>
        </is>
      </c>
      <c r="E258" t="inlineStr">
        <is>
          <t>IAD</t>
        </is>
      </c>
      <c r="F258" t="inlineStr">
        <is>
          <t>MCO-IAD</t>
        </is>
      </c>
      <c r="G258" t="n">
        <v>13</v>
      </c>
      <c r="H258" t="n">
        <v>1</v>
      </c>
      <c r="I258" t="n">
        <v>0.9964</v>
      </c>
      <c r="J258" t="n">
        <v>1</v>
      </c>
      <c r="K258" t="n">
        <v>102</v>
      </c>
      <c r="L258" t="inlineStr">
        <is>
          <t>projected turn slack (min)=-36 (+3.73); aircraft's latest known departure delay=102 (+0.80); inbound leg departure delay (if departed by cutoff)=102 (+0.63)</t>
        </is>
      </c>
    </row>
    <row r="259">
      <c r="A259" t="inlineStr">
        <is>
          <t>2777cbe5b9a51045aed213fb68594b53</t>
        </is>
      </c>
      <c r="B259" t="inlineStr">
        <is>
          <t>2024-04-14</t>
        </is>
      </c>
      <c r="C259" t="inlineStr">
        <is>
          <t>F9</t>
        </is>
      </c>
      <c r="D259" t="inlineStr">
        <is>
          <t>SEA</t>
        </is>
      </c>
      <c r="E259" t="inlineStr">
        <is>
          <t>DEN</t>
        </is>
      </c>
      <c r="F259" t="inlineStr">
        <is>
          <t>SEA-DEN</t>
        </is>
      </c>
      <c r="G259" t="n">
        <v>22</v>
      </c>
      <c r="H259" t="n">
        <v>1</v>
      </c>
      <c r="I259" t="n">
        <v>0.99638</v>
      </c>
      <c r="J259" t="n">
        <v>1</v>
      </c>
      <c r="K259" t="n">
        <v>102</v>
      </c>
      <c r="L259" t="inlineStr">
        <is>
          <t>projected turn slack (min)=-52 (+4.22); aircraft's latest known departure delay=102 (+1.06); inbound leg departure delay (if departed by cutoff)=102 (+0.78)</t>
        </is>
      </c>
    </row>
    <row r="260">
      <c r="A260" t="inlineStr">
        <is>
          <t>aaf0e5696b000343c420f68fd86a79e0</t>
        </is>
      </c>
      <c r="B260" t="inlineStr">
        <is>
          <t>2024-04-04</t>
        </is>
      </c>
      <c r="C260" t="inlineStr">
        <is>
          <t>DL</t>
        </is>
      </c>
      <c r="D260" t="inlineStr">
        <is>
          <t>BOS</t>
        </is>
      </c>
      <c r="E260" t="inlineStr">
        <is>
          <t>FLL</t>
        </is>
      </c>
      <c r="F260" t="inlineStr">
        <is>
          <t>BOS-FLL</t>
        </is>
      </c>
      <c r="G260" t="n">
        <v>20</v>
      </c>
      <c r="H260" t="n">
        <v>1</v>
      </c>
      <c r="I260" t="n">
        <v>0.99638</v>
      </c>
      <c r="J260" t="n">
        <v>1</v>
      </c>
      <c r="K260" t="n">
        <v>102</v>
      </c>
      <c r="L260" t="inlineStr">
        <is>
          <t>projected turn slack (min)=-32 (+3.53); inbound leg departure delay (if departed by cutoff)=102 (+0.67); aircraft's latest known departure delay=102 (+0.66)</t>
        </is>
      </c>
    </row>
    <row r="261">
      <c r="A261" t="inlineStr">
        <is>
          <t>813baa2beb160e2bda5f45123e8e18f9</t>
        </is>
      </c>
      <c r="B261" t="inlineStr">
        <is>
          <t>2024-04-22</t>
        </is>
      </c>
      <c r="C261" t="inlineStr">
        <is>
          <t>NK</t>
        </is>
      </c>
      <c r="D261" t="inlineStr">
        <is>
          <t>ORD</t>
        </is>
      </c>
      <c r="E261" t="inlineStr">
        <is>
          <t>FLL</t>
        </is>
      </c>
      <c r="F261" t="inlineStr">
        <is>
          <t>ORD-FLL</t>
        </is>
      </c>
      <c r="G261" t="n">
        <v>18</v>
      </c>
      <c r="H261" t="n">
        <v>1</v>
      </c>
      <c r="I261" t="n">
        <v>0.99637</v>
      </c>
      <c r="J261" t="n">
        <v>1</v>
      </c>
      <c r="K261" t="n">
        <v>133</v>
      </c>
      <c r="L261" t="inlineStr">
        <is>
          <t>projected turn slack (min)=-78 (+3.82); aircraft's latest known departure delay=133 (+0.80); inbound leg departure delay (if departed by cutoff)=133 (+0.71)</t>
        </is>
      </c>
    </row>
    <row r="262">
      <c r="A262" t="inlineStr">
        <is>
          <t>acc5f3eb8fce8053ea80244110bab1a0</t>
        </is>
      </c>
      <c r="B262" t="inlineStr">
        <is>
          <t>2024-04-26</t>
        </is>
      </c>
      <c r="C262" t="inlineStr">
        <is>
          <t>B6</t>
        </is>
      </c>
      <c r="D262" t="inlineStr">
        <is>
          <t>BDL</t>
        </is>
      </c>
      <c r="E262" t="inlineStr">
        <is>
          <t>RSW</t>
        </is>
      </c>
      <c r="F262" t="inlineStr">
        <is>
          <t>BDL-RSW</t>
        </is>
      </c>
      <c r="G262" t="n">
        <v>16</v>
      </c>
      <c r="H262" t="n">
        <v>1</v>
      </c>
      <c r="I262" t="n">
        <v>0.99637</v>
      </c>
      <c r="J262" t="n">
        <v>1</v>
      </c>
      <c r="K262" t="n">
        <v>99</v>
      </c>
      <c r="L262" t="inlineStr">
        <is>
          <t>projected turn slack (min)=-54 (+4.17); aircraft's latest known departure delay=99 (+1.09); inbound leg departure delay (if departed by cutoff)=99 (+0.76)</t>
        </is>
      </c>
    </row>
    <row r="263">
      <c r="A263" t="inlineStr">
        <is>
          <t>f1e7205e249682c06e7729a440a9b59e</t>
        </is>
      </c>
      <c r="B263" t="inlineStr">
        <is>
          <t>2024-04-03</t>
        </is>
      </c>
      <c r="C263" t="inlineStr">
        <is>
          <t>WN</t>
        </is>
      </c>
      <c r="D263" t="inlineStr">
        <is>
          <t>DAL</t>
        </is>
      </c>
      <c r="E263" t="inlineStr">
        <is>
          <t>MSY</t>
        </is>
      </c>
      <c r="F263" t="inlineStr">
        <is>
          <t>DAL-MSY</t>
        </is>
      </c>
      <c r="G263" t="n">
        <v>16</v>
      </c>
      <c r="H263" t="n">
        <v>1</v>
      </c>
      <c r="I263" t="n">
        <v>0.99637</v>
      </c>
      <c r="J263" t="n">
        <v>1</v>
      </c>
      <c r="K263" t="n">
        <v>74</v>
      </c>
      <c r="L263" t="inlineStr">
        <is>
          <t>projected turn slack (min)=-34 (+3.78); aircraft's latest known departure delay=74 (+0.91); inbound leg departure delay (if departed by cutoff)=74 (+0.80)</t>
        </is>
      </c>
    </row>
    <row r="264">
      <c r="A264" t="inlineStr">
        <is>
          <t>5a5e33443797dfffa5853fc80f39eec8</t>
        </is>
      </c>
      <c r="B264" t="inlineStr">
        <is>
          <t>2024-04-28</t>
        </is>
      </c>
      <c r="C264" t="inlineStr">
        <is>
          <t>AA</t>
        </is>
      </c>
      <c r="D264" t="inlineStr">
        <is>
          <t>BOI</t>
        </is>
      </c>
      <c r="E264" t="inlineStr">
        <is>
          <t>DFW</t>
        </is>
      </c>
      <c r="F264" t="inlineStr">
        <is>
          <t>BOI-DFW</t>
        </is>
      </c>
      <c r="G264" t="n">
        <v>13</v>
      </c>
      <c r="H264" t="n">
        <v>1</v>
      </c>
      <c r="I264" t="n">
        <v>0.99636</v>
      </c>
      <c r="J264" t="n">
        <v>1</v>
      </c>
      <c r="K264" t="n">
        <v>116</v>
      </c>
      <c r="L264" t="inlineStr">
        <is>
          <t>projected turn slack (min)=-66 (+3.44); aircraft's latest known departure delay=116 (+0.67); inbound leg departure delay (if departed by cutoff)=116 (+0.67)</t>
        </is>
      </c>
    </row>
    <row r="265">
      <c r="A265" t="inlineStr">
        <is>
          <t>6aab6c8107128ef2da2b22c6205f7822</t>
        </is>
      </c>
      <c r="B265" t="inlineStr">
        <is>
          <t>2024-04-20</t>
        </is>
      </c>
      <c r="C265" t="inlineStr">
        <is>
          <t>F9</t>
        </is>
      </c>
      <c r="D265" t="inlineStr">
        <is>
          <t>MCO</t>
        </is>
      </c>
      <c r="E265" t="inlineStr">
        <is>
          <t>DEN</t>
        </is>
      </c>
      <c r="F265" t="inlineStr">
        <is>
          <t>MCO-DEN</t>
        </is>
      </c>
      <c r="G265" t="n">
        <v>13</v>
      </c>
      <c r="H265" t="n">
        <v>1</v>
      </c>
      <c r="I265" t="n">
        <v>0.99635</v>
      </c>
      <c r="J265" t="n">
        <v>1</v>
      </c>
      <c r="K265" t="n">
        <v>99</v>
      </c>
      <c r="L265" t="inlineStr">
        <is>
          <t>projected turn slack (min)=-34 (+3.93); aircraft's latest known departure delay=99 (+0.88); inbound leg departure delay (if departed by cutoff)=99 (+0.69)</t>
        </is>
      </c>
    </row>
    <row r="266">
      <c r="A266" t="inlineStr">
        <is>
          <t>fcaeb0b4a3da67c623dcab59d71a0016</t>
        </is>
      </c>
      <c r="B266" t="inlineStr">
        <is>
          <t>2024-04-05</t>
        </is>
      </c>
      <c r="C266" t="inlineStr">
        <is>
          <t>DL</t>
        </is>
      </c>
      <c r="D266" t="inlineStr">
        <is>
          <t>DFW</t>
        </is>
      </c>
      <c r="E266" t="inlineStr">
        <is>
          <t>LGA</t>
        </is>
      </c>
      <c r="F266" t="inlineStr">
        <is>
          <t>DFW-LGA</t>
        </is>
      </c>
      <c r="G266" t="n">
        <v>17</v>
      </c>
      <c r="H266" t="n">
        <v>1</v>
      </c>
      <c r="I266" t="n">
        <v>0.99635</v>
      </c>
      <c r="J266" t="n">
        <v>1</v>
      </c>
      <c r="K266" t="n">
        <v>115</v>
      </c>
      <c r="L266" t="inlineStr">
        <is>
          <t>projected turn slack (min)=-58 (+4.11); aircraft's latest known departure delay=115 (+0.92); inbound leg departure delay (if departed by cutoff)=115 (+0.84)</t>
        </is>
      </c>
    </row>
    <row r="267">
      <c r="A267" t="inlineStr">
        <is>
          <t>02169aebabfbd6dfce6c854e4038564a</t>
        </is>
      </c>
      <c r="B267" t="inlineStr">
        <is>
          <t>2024-04-12</t>
        </is>
      </c>
      <c r="C267" t="inlineStr">
        <is>
          <t>UA</t>
        </is>
      </c>
      <c r="D267" t="inlineStr">
        <is>
          <t>TPA</t>
        </is>
      </c>
      <c r="E267" t="inlineStr">
        <is>
          <t>LAX</t>
        </is>
      </c>
      <c r="F267" t="inlineStr">
        <is>
          <t>TPA-LAX</t>
        </is>
      </c>
      <c r="G267" t="n">
        <v>17</v>
      </c>
      <c r="H267" t="n">
        <v>1</v>
      </c>
      <c r="I267" t="n">
        <v>0.99634</v>
      </c>
      <c r="J267" t="n">
        <v>1</v>
      </c>
      <c r="K267" t="n">
        <v>122</v>
      </c>
      <c r="L267" t="inlineStr">
        <is>
          <t>projected turn slack (min)=-60 (+3.99); aircraft's latest known departure delay=122 (+0.93); inbound leg departure delay (if departed by cutoff)=122 (+0.73)</t>
        </is>
      </c>
    </row>
    <row r="268">
      <c r="A268" t="inlineStr">
        <is>
          <t>a837761cda5fd8d4aead88725fdcffd0</t>
        </is>
      </c>
      <c r="B268" t="inlineStr">
        <is>
          <t>2024-04-11</t>
        </is>
      </c>
      <c r="C268" t="inlineStr">
        <is>
          <t>NK</t>
        </is>
      </c>
      <c r="D268" t="inlineStr">
        <is>
          <t>DFW</t>
        </is>
      </c>
      <c r="E268" t="inlineStr">
        <is>
          <t>LAS</t>
        </is>
      </c>
      <c r="F268" t="inlineStr">
        <is>
          <t>DFW-LAS</t>
        </is>
      </c>
      <c r="G268" t="n">
        <v>17</v>
      </c>
      <c r="H268" t="n">
        <v>1</v>
      </c>
      <c r="I268" t="n">
        <v>0.99634</v>
      </c>
      <c r="J268" t="n">
        <v>1</v>
      </c>
      <c r="K268" t="n">
        <v>110</v>
      </c>
      <c r="L268" t="inlineStr">
        <is>
          <t>projected turn slack (min)=-57 (+3.78); aircraft's latest known departure delay=110 (+0.94); inbound leg departure delay (if departed by cutoff)=110 (+0.82)</t>
        </is>
      </c>
    </row>
    <row r="269">
      <c r="A269" t="inlineStr">
        <is>
          <t>103a8be002b005dad46fac9247a7f5d6</t>
        </is>
      </c>
      <c r="B269" t="inlineStr">
        <is>
          <t>2024-04-04</t>
        </is>
      </c>
      <c r="C269" t="inlineStr">
        <is>
          <t>F9</t>
        </is>
      </c>
      <c r="D269" t="inlineStr">
        <is>
          <t>TPA</t>
        </is>
      </c>
      <c r="E269" t="inlineStr">
        <is>
          <t>DEN</t>
        </is>
      </c>
      <c r="F269" t="inlineStr">
        <is>
          <t>TPA-DEN</t>
        </is>
      </c>
      <c r="G269" t="n">
        <v>20</v>
      </c>
      <c r="H269" t="n">
        <v>1</v>
      </c>
      <c r="I269" t="n">
        <v>0.99633</v>
      </c>
      <c r="J269" t="n">
        <v>1</v>
      </c>
      <c r="K269" t="n">
        <v>110</v>
      </c>
      <c r="L269" t="inlineStr">
        <is>
          <t>projected turn slack (min)=-50 (+3.82); aircraft's latest known departure delay=110 (+1.01); inbound leg departure delay (if departed by cutoff)=110 (+0.70)</t>
        </is>
      </c>
    </row>
    <row r="270">
      <c r="A270" t="inlineStr">
        <is>
          <t>1639c96c68a935375ee69a3e282d780a</t>
        </is>
      </c>
      <c r="B270" t="inlineStr">
        <is>
          <t>2024-04-11</t>
        </is>
      </c>
      <c r="C270" t="inlineStr">
        <is>
          <t>B6</t>
        </is>
      </c>
      <c r="D270" t="inlineStr">
        <is>
          <t>EWR</t>
        </is>
      </c>
      <c r="E270" t="inlineStr">
        <is>
          <t>FLL</t>
        </is>
      </c>
      <c r="F270" t="inlineStr">
        <is>
          <t>EWR-FLL</t>
        </is>
      </c>
      <c r="G270" t="n">
        <v>17</v>
      </c>
      <c r="H270" t="n">
        <v>1</v>
      </c>
      <c r="I270" t="n">
        <v>0.99633</v>
      </c>
      <c r="J270" t="n">
        <v>1</v>
      </c>
      <c r="K270" t="n">
        <v>98</v>
      </c>
      <c r="L270" t="inlineStr">
        <is>
          <t>projected turn slack (min)=-50 (+2.48); aircraft's latest known departure delay=149 (+1.01); inbound leg overdue, not yet departed (min)=98 (+0.63)</t>
        </is>
      </c>
    </row>
    <row r="271">
      <c r="A271" t="inlineStr">
        <is>
          <t>24221f75423822c054b8edf5862bb712</t>
        </is>
      </c>
      <c r="B271" t="inlineStr">
        <is>
          <t>2024-04-07</t>
        </is>
      </c>
      <c r="C271" t="inlineStr">
        <is>
          <t>F9</t>
        </is>
      </c>
      <c r="D271" t="inlineStr">
        <is>
          <t>ORD</t>
        </is>
      </c>
      <c r="E271" t="inlineStr">
        <is>
          <t>PHX</t>
        </is>
      </c>
      <c r="F271" t="inlineStr">
        <is>
          <t>ORD-PHX</t>
        </is>
      </c>
      <c r="G271" t="n">
        <v>23</v>
      </c>
      <c r="H271" t="n">
        <v>1</v>
      </c>
      <c r="I271" t="n">
        <v>0.99633</v>
      </c>
      <c r="J271" t="n">
        <v>1</v>
      </c>
      <c r="K271" t="n">
        <v>105</v>
      </c>
      <c r="L271" t="inlineStr">
        <is>
          <t>projected turn slack (min)=-45 (+4.05); aircraft's latest known departure delay=105 (+1.05); inbound leg departure delay (if departed by cutoff)=105 (+0.71)</t>
        </is>
      </c>
    </row>
    <row r="272">
      <c r="A272" t="inlineStr">
        <is>
          <t>54cc60a2529ee9dab7fb386cc1510eac</t>
        </is>
      </c>
      <c r="B272" t="inlineStr">
        <is>
          <t>2024-04-28</t>
        </is>
      </c>
      <c r="C272" t="inlineStr">
        <is>
          <t>DL</t>
        </is>
      </c>
      <c r="D272" t="inlineStr">
        <is>
          <t>MCO</t>
        </is>
      </c>
      <c r="E272" t="inlineStr">
        <is>
          <t>DTW</t>
        </is>
      </c>
      <c r="F272" t="inlineStr">
        <is>
          <t>MCO-DTW</t>
        </is>
      </c>
      <c r="G272" t="n">
        <v>20</v>
      </c>
      <c r="H272" t="n">
        <v>1</v>
      </c>
      <c r="I272" t="n">
        <v>0.99633</v>
      </c>
      <c r="J272" t="n">
        <v>1</v>
      </c>
      <c r="K272" t="n">
        <v>144</v>
      </c>
      <c r="L272" t="inlineStr">
        <is>
          <t>projected turn slack (min)=-77 (+3.77); aircraft's latest known departure delay=144 (+0.86); inbound leg departure delay (if departed by cutoff)=144 (+0.73)</t>
        </is>
      </c>
    </row>
    <row r="273">
      <c r="A273" t="inlineStr">
        <is>
          <t>d58892b805e18ef72387f649e1eea287</t>
        </is>
      </c>
      <c r="B273" t="inlineStr">
        <is>
          <t>2024-04-14</t>
        </is>
      </c>
      <c r="C273" t="inlineStr">
        <is>
          <t>AA</t>
        </is>
      </c>
      <c r="D273" t="inlineStr">
        <is>
          <t>SNA</t>
        </is>
      </c>
      <c r="E273" t="inlineStr">
        <is>
          <t>AUS</t>
        </is>
      </c>
      <c r="F273" t="inlineStr">
        <is>
          <t>SNA-AUS</t>
        </is>
      </c>
      <c r="G273" t="n">
        <v>12</v>
      </c>
      <c r="H273" t="n">
        <v>1</v>
      </c>
      <c r="I273" t="n">
        <v>0.99633</v>
      </c>
      <c r="J273" t="n">
        <v>1</v>
      </c>
      <c r="K273" t="n">
        <v>124</v>
      </c>
      <c r="L273" t="inlineStr">
        <is>
          <t>projected turn slack (min)=-74 (+3.98); aircraft's latest known departure delay=124 (+1.05); inbound leg departure delay (if departed by cutoff)=124 (+0.82)</t>
        </is>
      </c>
    </row>
    <row r="274">
      <c r="A274" t="inlineStr">
        <is>
          <t>272dd6142b380e1ce48bea95500ba3e8</t>
        </is>
      </c>
      <c r="B274" t="inlineStr">
        <is>
          <t>2024-04-10</t>
        </is>
      </c>
      <c r="C274" t="inlineStr">
        <is>
          <t>AA</t>
        </is>
      </c>
      <c r="D274" t="inlineStr">
        <is>
          <t>DFW</t>
        </is>
      </c>
      <c r="E274" t="inlineStr">
        <is>
          <t>SFO</t>
        </is>
      </c>
      <c r="F274" t="inlineStr">
        <is>
          <t>DFW-SFO</t>
        </is>
      </c>
      <c r="G274" t="n">
        <v>16</v>
      </c>
      <c r="H274" t="n">
        <v>1</v>
      </c>
      <c r="I274" t="n">
        <v>0.99632</v>
      </c>
      <c r="J274" t="n">
        <v>1</v>
      </c>
      <c r="K274" t="n">
        <v>107</v>
      </c>
      <c r="L274" t="inlineStr">
        <is>
          <t>projected turn slack (min)=-41 (+3.45); aircraft's latest known departure delay=107 (+0.75); inbound leg departure delay (if departed by cutoff)=107 (+0.67)</t>
        </is>
      </c>
    </row>
    <row r="275">
      <c r="A275" t="inlineStr">
        <is>
          <t>424fd10aa39c8f738e8f419d0a50e504</t>
        </is>
      </c>
      <c r="B275" t="inlineStr">
        <is>
          <t>2024-04-11</t>
        </is>
      </c>
      <c r="C275" t="inlineStr">
        <is>
          <t>AA</t>
        </is>
      </c>
      <c r="D275" t="inlineStr">
        <is>
          <t>SFO</t>
        </is>
      </c>
      <c r="E275" t="inlineStr">
        <is>
          <t>MIA</t>
        </is>
      </c>
      <c r="F275" t="inlineStr">
        <is>
          <t>SFO-MIA</t>
        </is>
      </c>
      <c r="G275" t="n">
        <v>21</v>
      </c>
      <c r="H275" t="n">
        <v>1</v>
      </c>
      <c r="I275" t="n">
        <v>0.99631</v>
      </c>
      <c r="J275" t="n">
        <v>1</v>
      </c>
      <c r="K275" t="n">
        <v>97</v>
      </c>
      <c r="L275" t="inlineStr">
        <is>
          <t>projected turn slack (min)=-33 (+3.87); aircraft's latest known departure delay=97 (+0.94); inbound leg departure delay (if departed by cutoff)=97 (+0.74)</t>
        </is>
      </c>
    </row>
    <row r="276">
      <c r="A276" t="inlineStr">
        <is>
          <t>7d7452d1901506675bb02c6aa5f11d53</t>
        </is>
      </c>
      <c r="B276" t="inlineStr">
        <is>
          <t>2024-04-11</t>
        </is>
      </c>
      <c r="C276" t="inlineStr">
        <is>
          <t>AA</t>
        </is>
      </c>
      <c r="D276" t="inlineStr">
        <is>
          <t>MCO</t>
        </is>
      </c>
      <c r="E276" t="inlineStr">
        <is>
          <t>ORD</t>
        </is>
      </c>
      <c r="F276" t="inlineStr">
        <is>
          <t>MCO-ORD</t>
        </is>
      </c>
      <c r="G276" t="n">
        <v>13</v>
      </c>
      <c r="H276" t="n">
        <v>1</v>
      </c>
      <c r="I276" t="n">
        <v>0.99631</v>
      </c>
      <c r="J276" t="n">
        <v>1</v>
      </c>
      <c r="K276" t="n">
        <v>84</v>
      </c>
      <c r="L276" t="inlineStr">
        <is>
          <t>projected turn slack (min)=-34 (+3.65); inbound leg departure delay (if departed by cutoff)=84 (+0.81); aircraft's latest known departure delay=84 (+0.67)</t>
        </is>
      </c>
    </row>
    <row r="277">
      <c r="A277" t="inlineStr">
        <is>
          <t>10dc334715f51ff6051a3028aa3fee49</t>
        </is>
      </c>
      <c r="B277" t="inlineStr">
        <is>
          <t>2024-04-26</t>
        </is>
      </c>
      <c r="C277" t="inlineStr">
        <is>
          <t>AA</t>
        </is>
      </c>
      <c r="D277" t="inlineStr">
        <is>
          <t>SEA</t>
        </is>
      </c>
      <c r="E277" t="inlineStr">
        <is>
          <t>DFW</t>
        </is>
      </c>
      <c r="F277" t="inlineStr">
        <is>
          <t>SEA-DFW</t>
        </is>
      </c>
      <c r="G277" t="n">
        <v>15</v>
      </c>
      <c r="H277" t="n">
        <v>1</v>
      </c>
      <c r="I277" t="n">
        <v>0.9963</v>
      </c>
      <c r="J277" t="n">
        <v>1</v>
      </c>
      <c r="K277" t="n">
        <v>124</v>
      </c>
      <c r="L277" t="inlineStr">
        <is>
          <t>projected turn slack (min)=-74 (+3.58); aircraft's latest known departure delay=124 (+0.79); inbound leg departure delay (if departed by cutoff)=124 (+0.74)</t>
        </is>
      </c>
    </row>
    <row r="278">
      <c r="A278" t="inlineStr">
        <is>
          <t>95d1ed2f1d3daa72e243e77fbd096bf1</t>
        </is>
      </c>
      <c r="B278" t="inlineStr">
        <is>
          <t>2024-04-11</t>
        </is>
      </c>
      <c r="C278" t="inlineStr">
        <is>
          <t>B6</t>
        </is>
      </c>
      <c r="D278" t="inlineStr">
        <is>
          <t>BDL</t>
        </is>
      </c>
      <c r="E278" t="inlineStr">
        <is>
          <t>MCO</t>
        </is>
      </c>
      <c r="F278" t="inlineStr">
        <is>
          <t>BDL-MCO</t>
        </is>
      </c>
      <c r="G278" t="n">
        <v>15</v>
      </c>
      <c r="H278" t="n">
        <v>1</v>
      </c>
      <c r="I278" t="n">
        <v>0.9963</v>
      </c>
      <c r="J278" t="n">
        <v>1</v>
      </c>
      <c r="K278" t="n">
        <v>86</v>
      </c>
      <c r="L278" t="inlineStr">
        <is>
          <t>projected turn slack (min)=-23 (+3.07); aircraft's latest known departure delay=86 (+0.66); destination avg arrival delay, 2 h before cutoff=65.6 (+0.53)</t>
        </is>
      </c>
    </row>
    <row r="279">
      <c r="A279" t="inlineStr">
        <is>
          <t>2848a4b10eee6abc54bca98fca70b0a0</t>
        </is>
      </c>
      <c r="B279" t="inlineStr">
        <is>
          <t>2024-04-13</t>
        </is>
      </c>
      <c r="C279" t="inlineStr">
        <is>
          <t>AA</t>
        </is>
      </c>
      <c r="D279" t="inlineStr">
        <is>
          <t>LAS</t>
        </is>
      </c>
      <c r="E279" t="inlineStr">
        <is>
          <t>DFW</t>
        </is>
      </c>
      <c r="F279" t="inlineStr">
        <is>
          <t>LAS-DFW</t>
        </is>
      </c>
      <c r="G279" t="n">
        <v>16</v>
      </c>
      <c r="H279" t="n">
        <v>1</v>
      </c>
      <c r="I279" t="n">
        <v>0.99629</v>
      </c>
      <c r="J279" t="n">
        <v>1</v>
      </c>
      <c r="K279" t="n">
        <v>96</v>
      </c>
      <c r="L279" t="inlineStr">
        <is>
          <t>projected turn slack (min)=-42 (+3.99); aircraft's latest known departure delay=96 (+0.90); inbound leg departure delay (if departed by cutoff)=96 (+0.79)</t>
        </is>
      </c>
    </row>
    <row r="280">
      <c r="A280" t="inlineStr">
        <is>
          <t>d508bd263389bb56931ee667bb5fffc5</t>
        </is>
      </c>
      <c r="B280" t="inlineStr">
        <is>
          <t>2024-04-21</t>
        </is>
      </c>
      <c r="C280" t="inlineStr">
        <is>
          <t>AA</t>
        </is>
      </c>
      <c r="D280" t="inlineStr">
        <is>
          <t>ONT</t>
        </is>
      </c>
      <c r="E280" t="inlineStr">
        <is>
          <t>DFW</t>
        </is>
      </c>
      <c r="F280" t="inlineStr">
        <is>
          <t>ONT-DFW</t>
        </is>
      </c>
      <c r="G280" t="n">
        <v>14</v>
      </c>
      <c r="H280" t="n">
        <v>1</v>
      </c>
      <c r="I280" t="n">
        <v>0.99629</v>
      </c>
      <c r="J280" t="n">
        <v>1</v>
      </c>
      <c r="K280" t="n">
        <v>131</v>
      </c>
      <c r="L280" t="inlineStr">
        <is>
          <t>projected turn slack (min)=-71 (+3.82); aircraft's latest known departure delay=131 (+0.81); inbound leg departure delay (if departed by cutoff)=131 (+0.79)</t>
        </is>
      </c>
    </row>
    <row r="281">
      <c r="A281" t="inlineStr">
        <is>
          <t>f2f57f8cb2cb5977335f51a88f47651f</t>
        </is>
      </c>
      <c r="B281" t="inlineStr">
        <is>
          <t>2024-04-17</t>
        </is>
      </c>
      <c r="C281" t="inlineStr">
        <is>
          <t>AS</t>
        </is>
      </c>
      <c r="D281" t="inlineStr">
        <is>
          <t>DFW</t>
        </is>
      </c>
      <c r="E281" t="inlineStr">
        <is>
          <t>SEA</t>
        </is>
      </c>
      <c r="F281" t="inlineStr">
        <is>
          <t>DFW-SEA</t>
        </is>
      </c>
      <c r="G281" t="n">
        <v>17</v>
      </c>
      <c r="H281" t="n">
        <v>1</v>
      </c>
      <c r="I281" t="n">
        <v>0.99629</v>
      </c>
      <c r="J281" t="n">
        <v>1</v>
      </c>
      <c r="K281" t="n">
        <v>119</v>
      </c>
      <c r="L281" t="inlineStr">
        <is>
          <t>projected turn slack (min)=-54 (+3.98); aircraft's latest known departure delay=119 (+0.88); inbound leg departure delay (if departed by cutoff)=119 (+0.78)</t>
        </is>
      </c>
    </row>
    <row r="282">
      <c r="A282" t="inlineStr">
        <is>
          <t>8fd60d49d6fdcfd874fc1226258ceb0e</t>
        </is>
      </c>
      <c r="B282" t="inlineStr">
        <is>
          <t>2024-04-13</t>
        </is>
      </c>
      <c r="C282" t="inlineStr">
        <is>
          <t>NK</t>
        </is>
      </c>
      <c r="D282" t="inlineStr">
        <is>
          <t>FLL</t>
        </is>
      </c>
      <c r="E282" t="inlineStr">
        <is>
          <t>EWR</t>
        </is>
      </c>
      <c r="F282" t="inlineStr">
        <is>
          <t>FLL-EWR</t>
        </is>
      </c>
      <c r="G282" t="n">
        <v>13</v>
      </c>
      <c r="H282" t="n">
        <v>1</v>
      </c>
      <c r="I282" t="n">
        <v>0.9962800000000001</v>
      </c>
      <c r="J282" t="n">
        <v>1</v>
      </c>
      <c r="K282" t="n">
        <v>88</v>
      </c>
      <c r="L282" t="inlineStr">
        <is>
          <t>projected turn slack (min)=-38 (+3.73); aircraft's latest known departure delay=88 (+0.79); inbound leg departure delay (if departed by cutoff)=88 (+0.79)</t>
        </is>
      </c>
    </row>
    <row r="283">
      <c r="A283" t="inlineStr">
        <is>
          <t>916b41caf6bd3d40f5f399ebe107661d</t>
        </is>
      </c>
      <c r="B283" t="inlineStr">
        <is>
          <t>2024-04-25</t>
        </is>
      </c>
      <c r="C283" t="inlineStr">
        <is>
          <t>DL</t>
        </is>
      </c>
      <c r="D283" t="inlineStr">
        <is>
          <t>SFO</t>
        </is>
      </c>
      <c r="E283" t="inlineStr">
        <is>
          <t>BOS</t>
        </is>
      </c>
      <c r="F283" t="inlineStr">
        <is>
          <t>SFO-BOS</t>
        </is>
      </c>
      <c r="G283" t="n">
        <v>22</v>
      </c>
      <c r="H283" t="n">
        <v>1</v>
      </c>
      <c r="I283" t="n">
        <v>0.9962800000000001</v>
      </c>
      <c r="J283" t="n">
        <v>1</v>
      </c>
      <c r="K283" t="n">
        <v>130</v>
      </c>
      <c r="L283" t="inlineStr">
        <is>
          <t>projected turn slack (min)=-60 (+3.98); aircraft's latest known departure delay=130 (+0.81); inbound leg departure delay (if departed by cutoff)=130 (+0.79)</t>
        </is>
      </c>
    </row>
    <row r="284">
      <c r="A284" t="inlineStr">
        <is>
          <t>65848045c0c746d0a20e5269897e7ceb</t>
        </is>
      </c>
      <c r="B284" t="inlineStr">
        <is>
          <t>2024-04-11</t>
        </is>
      </c>
      <c r="C284" t="inlineStr">
        <is>
          <t>WN</t>
        </is>
      </c>
      <c r="D284" t="inlineStr">
        <is>
          <t>TPA</t>
        </is>
      </c>
      <c r="E284" t="inlineStr">
        <is>
          <t>BNA</t>
        </is>
      </c>
      <c r="F284" t="inlineStr">
        <is>
          <t>TPA-BNA</t>
        </is>
      </c>
      <c r="G284" t="n">
        <v>16</v>
      </c>
      <c r="H284" t="n">
        <v>1</v>
      </c>
      <c r="I284" t="n">
        <v>0.99627</v>
      </c>
      <c r="J284" t="n">
        <v>1</v>
      </c>
      <c r="K284" t="n">
        <v>70</v>
      </c>
      <c r="L284" t="inlineStr">
        <is>
          <t>projected turn slack (min)=-20 (+2.29); inbound leg overdue, not yet departed (min)=70 (+0.77); share of origin flights overdue=0.9 (+0.48)</t>
        </is>
      </c>
    </row>
    <row r="285">
      <c r="A285" t="inlineStr">
        <is>
          <t>e509a93d8f57ea9cbc93e6e12fb7e736</t>
        </is>
      </c>
      <c r="B285" t="inlineStr">
        <is>
          <t>2024-04-11</t>
        </is>
      </c>
      <c r="C285" t="inlineStr">
        <is>
          <t>WN</t>
        </is>
      </c>
      <c r="D285" t="inlineStr">
        <is>
          <t>DCA</t>
        </is>
      </c>
      <c r="E285" t="inlineStr">
        <is>
          <t>MCO</t>
        </is>
      </c>
      <c r="F285" t="inlineStr">
        <is>
          <t>DCA-MCO</t>
        </is>
      </c>
      <c r="G285" t="n">
        <v>19</v>
      </c>
      <c r="H285" t="n">
        <v>1</v>
      </c>
      <c r="I285" t="n">
        <v>0.99627</v>
      </c>
      <c r="J285" t="n">
        <v>1</v>
      </c>
      <c r="K285" t="n">
        <v>70</v>
      </c>
      <c r="L285" t="inlineStr">
        <is>
          <t>projected turn slack (min)=-20 (+2.38); aircraft's latest known departure delay=215 (+1.01); inbound leg overdue, not yet departed (min)=70 (+0.69)</t>
        </is>
      </c>
    </row>
    <row r="286">
      <c r="A286" t="inlineStr">
        <is>
          <t>1bf3f09d95e22f94751f500ba093e583</t>
        </is>
      </c>
      <c r="B286" t="inlineStr">
        <is>
          <t>2024-04-26</t>
        </is>
      </c>
      <c r="C286" t="inlineStr">
        <is>
          <t>UA</t>
        </is>
      </c>
      <c r="D286" t="inlineStr">
        <is>
          <t>TPA</t>
        </is>
      </c>
      <c r="E286" t="inlineStr">
        <is>
          <t>ORD</t>
        </is>
      </c>
      <c r="F286" t="inlineStr">
        <is>
          <t>TPA-ORD</t>
        </is>
      </c>
      <c r="G286" t="n">
        <v>16</v>
      </c>
      <c r="H286" t="n">
        <v>1</v>
      </c>
      <c r="I286" t="n">
        <v>0.99626</v>
      </c>
      <c r="J286" t="n">
        <v>1</v>
      </c>
      <c r="K286" t="n">
        <v>121</v>
      </c>
      <c r="L286" t="inlineStr">
        <is>
          <t>projected turn slack (min)=-45 (+4.11); aircraft's latest known departure delay=121 (+0.71); inbound leg departure delay (if departed by cutoff)=121 (+0.68)</t>
        </is>
      </c>
    </row>
    <row r="287">
      <c r="A287" t="inlineStr">
        <is>
          <t>c34add96c8f630506c05f2c46602fed2</t>
        </is>
      </c>
      <c r="B287" t="inlineStr">
        <is>
          <t>2024-04-04</t>
        </is>
      </c>
      <c r="C287" t="inlineStr">
        <is>
          <t>F9</t>
        </is>
      </c>
      <c r="D287" t="inlineStr">
        <is>
          <t>CLE</t>
        </is>
      </c>
      <c r="E287" t="inlineStr">
        <is>
          <t>MCO</t>
        </is>
      </c>
      <c r="F287" t="inlineStr">
        <is>
          <t>CLE-MCO</t>
        </is>
      </c>
      <c r="G287" t="n">
        <v>21</v>
      </c>
      <c r="H287" t="n">
        <v>1</v>
      </c>
      <c r="I287" t="n">
        <v>0.99626</v>
      </c>
      <c r="J287" t="n">
        <v>1</v>
      </c>
      <c r="K287" t="n">
        <v>139</v>
      </c>
      <c r="L287" t="inlineStr">
        <is>
          <t>projected turn slack (min)=-79 (+3.70); aircraft's latest known departure delay=139 (+0.86); inbound leg departure delay (if departed by cutoff)=139 (+0.71)</t>
        </is>
      </c>
    </row>
    <row r="288">
      <c r="A288" t="inlineStr">
        <is>
          <t>cae911e2777a50cc86e7844f5ca17ad3</t>
        </is>
      </c>
      <c r="B288" t="inlineStr">
        <is>
          <t>2024-04-13</t>
        </is>
      </c>
      <c r="C288" t="inlineStr">
        <is>
          <t>NK</t>
        </is>
      </c>
      <c r="D288" t="inlineStr">
        <is>
          <t>MCO</t>
        </is>
      </c>
      <c r="E288" t="inlineStr">
        <is>
          <t>SLC</t>
        </is>
      </c>
      <c r="F288" t="inlineStr">
        <is>
          <t>MCO-SLC</t>
        </is>
      </c>
      <c r="G288" t="n">
        <v>20</v>
      </c>
      <c r="H288" t="n">
        <v>1</v>
      </c>
      <c r="I288" t="n">
        <v>0.99626</v>
      </c>
      <c r="J288" t="n">
        <v>1</v>
      </c>
      <c r="K288" t="n">
        <v>102</v>
      </c>
      <c r="L288" t="inlineStr">
        <is>
          <t>projected turn slack (min)=-44 (+4.26); aircraft's latest known departure delay=102 (+0.96); inbound leg departure delay (if departed by cutoff)=102 (+0.81)</t>
        </is>
      </c>
    </row>
    <row r="289">
      <c r="A289" t="inlineStr">
        <is>
          <t>eb9bfce130d568416362f27566dd7c07</t>
        </is>
      </c>
      <c r="B289" t="inlineStr">
        <is>
          <t>2024-04-21</t>
        </is>
      </c>
      <c r="C289" t="inlineStr">
        <is>
          <t>WN</t>
        </is>
      </c>
      <c r="D289" t="inlineStr">
        <is>
          <t>DAL</t>
        </is>
      </c>
      <c r="E289" t="inlineStr">
        <is>
          <t>ELP</t>
        </is>
      </c>
      <c r="F289" t="inlineStr">
        <is>
          <t>DAL-ELP</t>
        </is>
      </c>
      <c r="G289" t="n">
        <v>14</v>
      </c>
      <c r="H289" t="n">
        <v>1</v>
      </c>
      <c r="I289" t="n">
        <v>0.99626</v>
      </c>
      <c r="J289" t="n">
        <v>1</v>
      </c>
      <c r="K289" t="n">
        <v>97</v>
      </c>
      <c r="L289" t="inlineStr">
        <is>
          <t>projected turn slack (min)=-57 (+3.71); aircraft's latest known departure delay=97 (+1.09); inbound leg departure delay (if departed by cutoff)=97 (+0.83)</t>
        </is>
      </c>
    </row>
    <row r="290">
      <c r="A290" t="inlineStr">
        <is>
          <t>4a6048873c2702d4df5b1bbfb2529bc3</t>
        </is>
      </c>
      <c r="B290" t="inlineStr">
        <is>
          <t>2024-04-20</t>
        </is>
      </c>
      <c r="C290" t="inlineStr">
        <is>
          <t>AA</t>
        </is>
      </c>
      <c r="D290" t="inlineStr">
        <is>
          <t>CLT</t>
        </is>
      </c>
      <c r="E290" t="inlineStr">
        <is>
          <t>ORF</t>
        </is>
      </c>
      <c r="F290" t="inlineStr">
        <is>
          <t>CLT-ORF</t>
        </is>
      </c>
      <c r="G290" t="n">
        <v>22</v>
      </c>
      <c r="H290" t="n">
        <v>1</v>
      </c>
      <c r="I290" t="n">
        <v>0.99625</v>
      </c>
      <c r="J290" t="n">
        <v>1</v>
      </c>
      <c r="K290" t="n">
        <v>108</v>
      </c>
      <c r="L290" t="inlineStr">
        <is>
          <t>projected turn slack (min)=-45 (+3.64); aircraft's latest known departure delay=108 (+0.76); inbound leg departure delay (if departed by cutoff)=108 (+0.74)</t>
        </is>
      </c>
    </row>
    <row r="291">
      <c r="A291" t="inlineStr">
        <is>
          <t>4b07a5b0437d70dc20aaefc9ef1d9b6a</t>
        </is>
      </c>
      <c r="B291" t="inlineStr">
        <is>
          <t>2024-04-11</t>
        </is>
      </c>
      <c r="C291" t="inlineStr">
        <is>
          <t>G4</t>
        </is>
      </c>
      <c r="D291" t="inlineStr">
        <is>
          <t>PGD</t>
        </is>
      </c>
      <c r="E291" t="inlineStr">
        <is>
          <t>RIC</t>
        </is>
      </c>
      <c r="F291" t="inlineStr">
        <is>
          <t>PGD-RIC</t>
        </is>
      </c>
      <c r="G291" t="n">
        <v>19</v>
      </c>
      <c r="H291" t="n">
        <v>0</v>
      </c>
      <c r="I291" t="n">
        <v>0.99625</v>
      </c>
      <c r="J291" t="n">
        <v>1</v>
      </c>
      <c r="K291" t="n">
        <v>78</v>
      </c>
      <c r="L291" t="inlineStr">
        <is>
          <t>projected turn slack (min)=-28 (+2.64); aircraft's latest known departure delay=236 (+1.10); inbound leg overdue, not yet departed (min)=78 (+0.78)</t>
        </is>
      </c>
    </row>
    <row r="292">
      <c r="A292" t="inlineStr">
        <is>
          <t>66cd65575d2fad1621534bd5b0bcac98</t>
        </is>
      </c>
      <c r="B292" t="inlineStr">
        <is>
          <t>2024-04-03</t>
        </is>
      </c>
      <c r="C292" t="inlineStr">
        <is>
          <t>B6</t>
        </is>
      </c>
      <c r="D292" t="inlineStr">
        <is>
          <t>TPA</t>
        </is>
      </c>
      <c r="E292" t="inlineStr">
        <is>
          <t>BQN</t>
        </is>
      </c>
      <c r="F292" t="inlineStr">
        <is>
          <t>TPA-BQN</t>
        </is>
      </c>
      <c r="G292" t="n">
        <v>15</v>
      </c>
      <c r="H292" t="n">
        <v>1</v>
      </c>
      <c r="I292" t="n">
        <v>0.99625</v>
      </c>
      <c r="J292" t="n">
        <v>1</v>
      </c>
      <c r="K292" t="n">
        <v>98</v>
      </c>
      <c r="L292" t="inlineStr">
        <is>
          <t>projected turn slack (min)=-43 (+3.59); aircraft's latest known departure delay=98 (+0.75); inbound leg departure delay (if departed by cutoff)=98 (+0.73)</t>
        </is>
      </c>
    </row>
    <row r="293">
      <c r="A293" t="inlineStr">
        <is>
          <t>fb4e104f60bd939abf2a31a3e3a4dd33</t>
        </is>
      </c>
      <c r="B293" t="inlineStr">
        <is>
          <t>2024-04-18</t>
        </is>
      </c>
      <c r="C293" t="inlineStr">
        <is>
          <t>WN</t>
        </is>
      </c>
      <c r="D293" t="inlineStr">
        <is>
          <t>SFO</t>
        </is>
      </c>
      <c r="E293" t="inlineStr">
        <is>
          <t>LAS</t>
        </is>
      </c>
      <c r="F293" t="inlineStr">
        <is>
          <t>SFO-LAS</t>
        </is>
      </c>
      <c r="G293" t="n">
        <v>21</v>
      </c>
      <c r="H293" t="n">
        <v>1</v>
      </c>
      <c r="I293" t="n">
        <v>0.99625</v>
      </c>
      <c r="J293" t="n">
        <v>1</v>
      </c>
      <c r="K293" t="n">
        <v>78</v>
      </c>
      <c r="L293" t="inlineStr">
        <is>
          <t>projected turn slack (min)=-33 (+3.55); aircraft's latest known departure delay=78 (+0.86); inbound leg departure delay (if departed by cutoff)=78 (+0.74)</t>
        </is>
      </c>
    </row>
    <row r="294">
      <c r="A294" t="inlineStr">
        <is>
          <t>32137785102f67ea63141c16bd2ec9de</t>
        </is>
      </c>
      <c r="B294" t="inlineStr">
        <is>
          <t>2024-04-03</t>
        </is>
      </c>
      <c r="C294" t="inlineStr">
        <is>
          <t>B6</t>
        </is>
      </c>
      <c r="D294" t="inlineStr">
        <is>
          <t>FLL</t>
        </is>
      </c>
      <c r="E294" t="inlineStr">
        <is>
          <t>SFO</t>
        </is>
      </c>
      <c r="F294" t="inlineStr">
        <is>
          <t>FLL-SFO</t>
        </is>
      </c>
      <c r="G294" t="n">
        <v>20</v>
      </c>
      <c r="H294" t="n">
        <v>1</v>
      </c>
      <c r="I294" t="n">
        <v>0.99624</v>
      </c>
      <c r="J294" t="n">
        <v>1</v>
      </c>
      <c r="K294" t="n">
        <v>150</v>
      </c>
      <c r="L294" t="inlineStr">
        <is>
          <t>projected turn slack (min)=-56 (+3.52); inbound leg departure delay (if departed by cutoff)=150 (+0.64); aircraft's latest known departure delay=150 (+0.60)</t>
        </is>
      </c>
    </row>
    <row r="295">
      <c r="A295" t="inlineStr">
        <is>
          <t>54fb9c2c37621e928f15579220ece808</t>
        </is>
      </c>
      <c r="B295" t="inlineStr">
        <is>
          <t>2024-04-26</t>
        </is>
      </c>
      <c r="C295" t="inlineStr">
        <is>
          <t>F9</t>
        </is>
      </c>
      <c r="D295" t="inlineStr">
        <is>
          <t>SFO</t>
        </is>
      </c>
      <c r="E295" t="inlineStr">
        <is>
          <t>DFW</t>
        </is>
      </c>
      <c r="F295" t="inlineStr">
        <is>
          <t>SFO-DFW</t>
        </is>
      </c>
      <c r="G295" t="n">
        <v>23</v>
      </c>
      <c r="H295" t="n">
        <v>1</v>
      </c>
      <c r="I295" t="n">
        <v>0.99624</v>
      </c>
      <c r="J295" t="n">
        <v>1</v>
      </c>
      <c r="K295" t="n">
        <v>127</v>
      </c>
      <c r="L295" t="inlineStr">
        <is>
          <t>projected turn slack (min)=-67 (+3.55); aircraft's latest known departure delay=127 (+0.76); inbound leg departure delay (if departed by cutoff)=127 (+0.66)</t>
        </is>
      </c>
    </row>
    <row r="296">
      <c r="A296" t="inlineStr">
        <is>
          <t>70a159583c0638b352b8f9b184fda368</t>
        </is>
      </c>
      <c r="B296" t="inlineStr">
        <is>
          <t>2024-04-03</t>
        </is>
      </c>
      <c r="C296" t="inlineStr">
        <is>
          <t>WN</t>
        </is>
      </c>
      <c r="D296" t="inlineStr">
        <is>
          <t>ISP</t>
        </is>
      </c>
      <c r="E296" t="inlineStr">
        <is>
          <t>MCO</t>
        </is>
      </c>
      <c r="F296" t="inlineStr">
        <is>
          <t>ISP-MCO</t>
        </is>
      </c>
      <c r="G296" t="n">
        <v>15</v>
      </c>
      <c r="H296" t="n">
        <v>1</v>
      </c>
      <c r="I296" t="n">
        <v>0.99624</v>
      </c>
      <c r="J296" t="n">
        <v>1</v>
      </c>
      <c r="K296" t="n">
        <v>79</v>
      </c>
      <c r="L296" t="inlineStr">
        <is>
          <t>projected turn slack (min)=-34 (+3.27); aircraft's latest known departure delay=79 (+0.72); inbound leg departure delay (if departed by cutoff)=79 (+0.66)</t>
        </is>
      </c>
    </row>
    <row r="297">
      <c r="A297" t="inlineStr">
        <is>
          <t>ea2ca7ee4557d0a426a4497a7291dae9</t>
        </is>
      </c>
      <c r="B297" t="inlineStr">
        <is>
          <t>2024-04-11</t>
        </is>
      </c>
      <c r="C297" t="inlineStr">
        <is>
          <t>UA</t>
        </is>
      </c>
      <c r="D297" t="inlineStr">
        <is>
          <t>FLL</t>
        </is>
      </c>
      <c r="E297" t="inlineStr">
        <is>
          <t>ORD</t>
        </is>
      </c>
      <c r="F297" t="inlineStr">
        <is>
          <t>FLL-ORD</t>
        </is>
      </c>
      <c r="G297" t="n">
        <v>12</v>
      </c>
      <c r="H297" t="n">
        <v>1</v>
      </c>
      <c r="I297" t="n">
        <v>0.99624</v>
      </c>
      <c r="J297" t="n">
        <v>1</v>
      </c>
      <c r="K297" t="n">
        <v>134</v>
      </c>
      <c r="L297" t="inlineStr">
        <is>
          <t>projected turn slack (min)=-68 (+3.97); aircraft's latest known departure delay=134 (+0.82); inbound leg departure delay (if departed by cutoff)=134 (+0.75)</t>
        </is>
      </c>
    </row>
    <row r="298">
      <c r="A298" t="inlineStr">
        <is>
          <t>f1b52f7f4bd8ac8adf446edb6af52dec</t>
        </is>
      </c>
      <c r="B298" t="inlineStr">
        <is>
          <t>2024-04-11</t>
        </is>
      </c>
      <c r="C298" t="inlineStr">
        <is>
          <t>G4</t>
        </is>
      </c>
      <c r="D298" t="inlineStr">
        <is>
          <t>TVC</t>
        </is>
      </c>
      <c r="E298" t="inlineStr">
        <is>
          <t>PIE</t>
        </is>
      </c>
      <c r="F298" t="inlineStr">
        <is>
          <t>TVC-PIE</t>
        </is>
      </c>
      <c r="G298" t="n">
        <v>20</v>
      </c>
      <c r="H298" t="n">
        <v>1</v>
      </c>
      <c r="I298" t="n">
        <v>0.99624</v>
      </c>
      <c r="J298" t="n">
        <v>1</v>
      </c>
      <c r="K298" t="n">
        <v>83</v>
      </c>
      <c r="L298" t="inlineStr">
        <is>
          <t>projected turn slack (min)=-33 (+3.83); inbound leg departure delay (if departed by cutoff)=83 (+0.80); aircraft's latest known departure delay=83 (+0.77)</t>
        </is>
      </c>
    </row>
    <row r="299">
      <c r="A299" t="inlineStr">
        <is>
          <t>09bde633cae2300a42f0d169d09170d9</t>
        </is>
      </c>
      <c r="B299" t="inlineStr">
        <is>
          <t>2024-04-12</t>
        </is>
      </c>
      <c r="C299" t="inlineStr">
        <is>
          <t>B6</t>
        </is>
      </c>
      <c r="D299" t="inlineStr">
        <is>
          <t>LGA</t>
        </is>
      </c>
      <c r="E299" t="inlineStr">
        <is>
          <t>FLL</t>
        </is>
      </c>
      <c r="F299" t="inlineStr">
        <is>
          <t>LGA-FLL</t>
        </is>
      </c>
      <c r="G299" t="n">
        <v>17</v>
      </c>
      <c r="H299" t="n">
        <v>1</v>
      </c>
      <c r="I299" t="n">
        <v>0.9962299999999999</v>
      </c>
      <c r="J299" t="n">
        <v>1</v>
      </c>
      <c r="K299" t="n">
        <v>60</v>
      </c>
      <c r="L299" t="inlineStr">
        <is>
          <t>projected turn slack (min)=-12 (+2.46); aircraft's latest known departure delay=135 (+0.87); inbound leg overdue, not yet departed (min)=60 (+0.74)</t>
        </is>
      </c>
    </row>
    <row r="300">
      <c r="A300" t="inlineStr">
        <is>
          <t>30638c2d4d7d03f405c8b708b7a21051</t>
        </is>
      </c>
      <c r="B300" t="inlineStr">
        <is>
          <t>2024-04-25</t>
        </is>
      </c>
      <c r="C300" t="inlineStr">
        <is>
          <t>B6</t>
        </is>
      </c>
      <c r="D300" t="inlineStr">
        <is>
          <t>BUR</t>
        </is>
      </c>
      <c r="E300" t="inlineStr">
        <is>
          <t>JFK</t>
        </is>
      </c>
      <c r="F300" t="inlineStr">
        <is>
          <t>BUR-JFK</t>
        </is>
      </c>
      <c r="G300" t="n">
        <v>21</v>
      </c>
      <c r="H300" t="n">
        <v>1</v>
      </c>
      <c r="I300" t="n">
        <v>0.9962299999999999</v>
      </c>
      <c r="J300" t="n">
        <v>1</v>
      </c>
      <c r="K300" t="n">
        <v>153</v>
      </c>
      <c r="L300" t="inlineStr">
        <is>
          <t>projected turn slack (min)=-98 (+3.81); aircraft's latest known departure delay=153 (+1.12); inbound leg departure delay (if departed by cutoff)=153 (+0.68)</t>
        </is>
      </c>
    </row>
    <row r="301">
      <c r="A301" t="inlineStr">
        <is>
          <t>ab5c17c1f3b4f8dc620271a423011dc6</t>
        </is>
      </c>
      <c r="B301" t="inlineStr">
        <is>
          <t>2024-04-10</t>
        </is>
      </c>
      <c r="C301" t="inlineStr">
        <is>
          <t>AA</t>
        </is>
      </c>
      <c r="D301" t="inlineStr">
        <is>
          <t>DFW</t>
        </is>
      </c>
      <c r="E301" t="inlineStr">
        <is>
          <t>MSY</t>
        </is>
      </c>
      <c r="F301" t="inlineStr">
        <is>
          <t>DFW-MSY</t>
        </is>
      </c>
      <c r="G301" t="n">
        <v>17</v>
      </c>
      <c r="H301" t="n">
        <v>1</v>
      </c>
      <c r="I301" t="n">
        <v>0.9962299999999999</v>
      </c>
      <c r="J301" t="n">
        <v>1</v>
      </c>
      <c r="K301" t="n">
        <v>82</v>
      </c>
      <c r="L301" t="inlineStr">
        <is>
          <t>projected turn slack (min)=-21 (+3.03); aircraft's latest known departure delay=82 (+0.58); inbound leg departure delay (if departed by cutoff)=82 (+0.51)</t>
        </is>
      </c>
    </row>
    <row r="302">
      <c r="A302" t="inlineStr">
        <is>
          <t>6fd459cf87d4107b71bddf9328ef84c7</t>
        </is>
      </c>
      <c r="B302" t="inlineStr">
        <is>
          <t>2024-04-20</t>
        </is>
      </c>
      <c r="C302" t="inlineStr">
        <is>
          <t>B6</t>
        </is>
      </c>
      <c r="D302" t="inlineStr">
        <is>
          <t>MIA</t>
        </is>
      </c>
      <c r="E302" t="inlineStr">
        <is>
          <t>BDL</t>
        </is>
      </c>
      <c r="F302" t="inlineStr">
        <is>
          <t>MIA-BDL</t>
        </is>
      </c>
      <c r="G302" t="n">
        <v>11</v>
      </c>
      <c r="H302" t="n">
        <v>1</v>
      </c>
      <c r="I302" t="n">
        <v>0.99622</v>
      </c>
      <c r="J302" t="n">
        <v>1</v>
      </c>
      <c r="K302" t="n">
        <v>79</v>
      </c>
      <c r="L302" t="inlineStr">
        <is>
          <t>projected turn slack (min)=-34 (+4.18); inbound leg departure delay (if departed by cutoff)=79 (+0.84); aircraft's latest known departure delay=79 (+0.79)</t>
        </is>
      </c>
    </row>
    <row r="303">
      <c r="A303" t="inlineStr">
        <is>
          <t>c2f26d49a71c02594fe65ed8c7163f10</t>
        </is>
      </c>
      <c r="B303" t="inlineStr">
        <is>
          <t>2024-04-05</t>
        </is>
      </c>
      <c r="C303" t="inlineStr">
        <is>
          <t>F9</t>
        </is>
      </c>
      <c r="D303" t="inlineStr">
        <is>
          <t>PHX</t>
        </is>
      </c>
      <c r="E303" t="inlineStr">
        <is>
          <t>MCI</t>
        </is>
      </c>
      <c r="F303" t="inlineStr">
        <is>
          <t>PHX-MCI</t>
        </is>
      </c>
      <c r="G303" t="n">
        <v>16</v>
      </c>
      <c r="H303" t="n">
        <v>1</v>
      </c>
      <c r="I303" t="n">
        <v>0.99621</v>
      </c>
      <c r="J303" t="n">
        <v>1</v>
      </c>
      <c r="K303" t="n">
        <v>121</v>
      </c>
      <c r="L303" t="inlineStr">
        <is>
          <t>projected turn slack (min)=-66 (+4.06); aircraft's latest known departure delay=121 (+0.89); inbound leg departure delay (if departed by cutoff)=121 (+0.73)</t>
        </is>
      </c>
    </row>
    <row r="304">
      <c r="A304" t="inlineStr">
        <is>
          <t>67dbd33047767d2b76fe7112a694529e</t>
        </is>
      </c>
      <c r="B304" t="inlineStr">
        <is>
          <t>2024-04-03</t>
        </is>
      </c>
      <c r="C304" t="inlineStr">
        <is>
          <t>NK</t>
        </is>
      </c>
      <c r="D304" t="inlineStr">
        <is>
          <t>RSW</t>
        </is>
      </c>
      <c r="E304" t="inlineStr">
        <is>
          <t>IND</t>
        </is>
      </c>
      <c r="F304" t="inlineStr">
        <is>
          <t>RSW-IND</t>
        </is>
      </c>
      <c r="G304" t="n">
        <v>13</v>
      </c>
      <c r="H304" t="n">
        <v>1</v>
      </c>
      <c r="I304" t="n">
        <v>0.9962</v>
      </c>
      <c r="J304" t="n">
        <v>1</v>
      </c>
      <c r="K304" t="n">
        <v>103</v>
      </c>
      <c r="L304" t="inlineStr">
        <is>
          <t>projected turn slack (min)=-48 (+3.91); aircraft's latest known departure delay=103 (+0.93); inbound leg departure delay (if departed by cutoff)=103 (+0.77)</t>
        </is>
      </c>
    </row>
    <row r="305">
      <c r="A305" t="inlineStr">
        <is>
          <t>4de8277c66375aef326fe1b755f02207</t>
        </is>
      </c>
      <c r="B305" t="inlineStr">
        <is>
          <t>2024-04-25</t>
        </is>
      </c>
      <c r="C305" t="inlineStr">
        <is>
          <t>F9</t>
        </is>
      </c>
      <c r="D305" t="inlineStr">
        <is>
          <t>SFO</t>
        </is>
      </c>
      <c r="E305" t="inlineStr">
        <is>
          <t>DFW</t>
        </is>
      </c>
      <c r="F305" t="inlineStr">
        <is>
          <t>SFO-DFW</t>
        </is>
      </c>
      <c r="G305" t="n">
        <v>23</v>
      </c>
      <c r="H305" t="n">
        <v>1</v>
      </c>
      <c r="I305" t="n">
        <v>0.99619</v>
      </c>
      <c r="J305" t="n">
        <v>1</v>
      </c>
      <c r="K305" t="n">
        <v>104</v>
      </c>
      <c r="L305" t="inlineStr">
        <is>
          <t>projected turn slack (min)=-44 (+3.69); aircraft's latest known departure delay=104 (+0.95); inbound leg departure delay (if departed by cutoff)=104 (+0.66)</t>
        </is>
      </c>
    </row>
    <row r="306">
      <c r="A306" t="inlineStr">
        <is>
          <t>566fc18557688d6d770aa061cd91959a</t>
        </is>
      </c>
      <c r="B306" t="inlineStr">
        <is>
          <t>2024-04-04</t>
        </is>
      </c>
      <c r="C306" t="inlineStr">
        <is>
          <t>DL</t>
        </is>
      </c>
      <c r="D306" t="inlineStr">
        <is>
          <t>FLL</t>
        </is>
      </c>
      <c r="E306" t="inlineStr">
        <is>
          <t>LGA</t>
        </is>
      </c>
      <c r="F306" t="inlineStr">
        <is>
          <t>FLL-LGA</t>
        </is>
      </c>
      <c r="G306" t="n">
        <v>15</v>
      </c>
      <c r="H306" t="n">
        <v>1</v>
      </c>
      <c r="I306" t="n">
        <v>0.99619</v>
      </c>
      <c r="J306" t="n">
        <v>1</v>
      </c>
      <c r="K306" t="n">
        <v>129</v>
      </c>
      <c r="L306" t="inlineStr">
        <is>
          <t>projected turn slack (min)=-62 (+3.88); aircraft's latest known departure delay=129 (+0.80); inbound leg departure delay (if departed by cutoff)=129 (+0.78)</t>
        </is>
      </c>
    </row>
    <row r="307">
      <c r="A307" t="inlineStr">
        <is>
          <t>99d99b80451cceeb68f6352a5a49751f</t>
        </is>
      </c>
      <c r="B307" t="inlineStr">
        <is>
          <t>2024-04-26</t>
        </is>
      </c>
      <c r="C307" t="inlineStr">
        <is>
          <t>AA</t>
        </is>
      </c>
      <c r="D307" t="inlineStr">
        <is>
          <t>PBI</t>
        </is>
      </c>
      <c r="E307" t="inlineStr">
        <is>
          <t>ORD</t>
        </is>
      </c>
      <c r="F307" t="inlineStr">
        <is>
          <t>PBI-ORD</t>
        </is>
      </c>
      <c r="G307" t="n">
        <v>17</v>
      </c>
      <c r="H307" t="n">
        <v>1</v>
      </c>
      <c r="I307" t="n">
        <v>0.99619</v>
      </c>
      <c r="J307" t="n">
        <v>1</v>
      </c>
      <c r="K307" t="n">
        <v>93</v>
      </c>
      <c r="L307" t="inlineStr">
        <is>
          <t>projected turn slack (min)=-43 (+3.81); aircraft's latest known departure delay=93 (+0.93); inbound leg departure delay (if departed by cutoff)=93 (+0.74)</t>
        </is>
      </c>
    </row>
    <row r="308">
      <c r="A308" t="inlineStr">
        <is>
          <t>49a06bbf92ac49ad5cf2d933ad803c36</t>
        </is>
      </c>
      <c r="B308" t="inlineStr">
        <is>
          <t>2024-04-13</t>
        </is>
      </c>
      <c r="C308" t="inlineStr">
        <is>
          <t>B6</t>
        </is>
      </c>
      <c r="D308" t="inlineStr">
        <is>
          <t>SRQ</t>
        </is>
      </c>
      <c r="E308" t="inlineStr">
        <is>
          <t>BOS</t>
        </is>
      </c>
      <c r="F308" t="inlineStr">
        <is>
          <t>SRQ-BOS</t>
        </is>
      </c>
      <c r="G308" t="n">
        <v>12</v>
      </c>
      <c r="H308" t="n">
        <v>1</v>
      </c>
      <c r="I308" t="n">
        <v>0.99618</v>
      </c>
      <c r="J308" t="n">
        <v>1</v>
      </c>
      <c r="K308" t="n">
        <v>119</v>
      </c>
      <c r="L308" t="inlineStr">
        <is>
          <t>projected turn slack (min)=-59 (+3.94); aircraft's latest known departure delay=119 (+0.95); inbound leg departure delay (if departed by cutoff)=119 (+0.74)</t>
        </is>
      </c>
    </row>
    <row r="309">
      <c r="A309" t="inlineStr">
        <is>
          <t>607cfe478c2f076fd7ca0ec6f652fd00</t>
        </is>
      </c>
      <c r="B309" t="inlineStr">
        <is>
          <t>2024-04-11</t>
        </is>
      </c>
      <c r="C309" t="inlineStr">
        <is>
          <t>B6</t>
        </is>
      </c>
      <c r="D309" t="inlineStr">
        <is>
          <t>BDL</t>
        </is>
      </c>
      <c r="E309" t="inlineStr">
        <is>
          <t>MCO</t>
        </is>
      </c>
      <c r="F309" t="inlineStr">
        <is>
          <t>BDL-MCO</t>
        </is>
      </c>
      <c r="G309" t="n">
        <v>18</v>
      </c>
      <c r="H309" t="n">
        <v>1</v>
      </c>
      <c r="I309" t="n">
        <v>0.99618</v>
      </c>
      <c r="J309" t="n">
        <v>1</v>
      </c>
      <c r="K309" t="n">
        <v>102</v>
      </c>
      <c r="L309" t="inlineStr">
        <is>
          <t>projected turn slack (min)=-32 (+3.57); aircraft's latest known departure delay=102 (+0.69); inbound leg departure delay (if departed by cutoff)=102 (+0.63)</t>
        </is>
      </c>
    </row>
    <row r="310">
      <c r="A310" t="inlineStr">
        <is>
          <t>7ca4a9dd1c071b4a1095d6a9797cb0e6</t>
        </is>
      </c>
      <c r="B310" t="inlineStr">
        <is>
          <t>2024-04-03</t>
        </is>
      </c>
      <c r="C310" t="inlineStr">
        <is>
          <t>F9</t>
        </is>
      </c>
      <c r="D310" t="inlineStr">
        <is>
          <t>PHX</t>
        </is>
      </c>
      <c r="E310" t="inlineStr">
        <is>
          <t>SLC</t>
        </is>
      </c>
      <c r="F310" t="inlineStr">
        <is>
          <t>PHX-SLC</t>
        </is>
      </c>
      <c r="G310" t="n">
        <v>17</v>
      </c>
      <c r="H310" t="n">
        <v>1</v>
      </c>
      <c r="I310" t="n">
        <v>0.99618</v>
      </c>
      <c r="J310" t="n">
        <v>1</v>
      </c>
      <c r="K310" t="n">
        <v>110</v>
      </c>
      <c r="L310" t="inlineStr">
        <is>
          <t>projected turn slack (min)=-56 (+4.03); aircraft's latest known departure delay=110 (+1.00); inbound leg departure delay (if departed by cutoff)=110 (+0.80)</t>
        </is>
      </c>
    </row>
    <row r="311">
      <c r="A311" t="inlineStr">
        <is>
          <t>307d2ca47d0a416f232905d67f0fefe0</t>
        </is>
      </c>
      <c r="B311" t="inlineStr">
        <is>
          <t>2024-04-11</t>
        </is>
      </c>
      <c r="C311" t="inlineStr">
        <is>
          <t>AA</t>
        </is>
      </c>
      <c r="D311" t="inlineStr">
        <is>
          <t>TPA</t>
        </is>
      </c>
      <c r="E311" t="inlineStr">
        <is>
          <t>PHX</t>
        </is>
      </c>
      <c r="F311" t="inlineStr">
        <is>
          <t>TPA-PHX</t>
        </is>
      </c>
      <c r="G311" t="n">
        <v>17</v>
      </c>
      <c r="H311" t="n">
        <v>1</v>
      </c>
      <c r="I311" t="n">
        <v>0.99617</v>
      </c>
      <c r="J311" t="n">
        <v>1</v>
      </c>
      <c r="K311" t="n">
        <v>155</v>
      </c>
      <c r="L311" t="inlineStr">
        <is>
          <t>projected turn slack (min)=-60 (+3.39); inbound leg departure delay (if departed by cutoff)=155 (+0.59); aircraft's latest known departure delay=155 (+0.54)</t>
        </is>
      </c>
    </row>
    <row r="312">
      <c r="A312" t="inlineStr">
        <is>
          <t>8c31140c2751b6ee4a281ba21c171ade</t>
        </is>
      </c>
      <c r="B312" t="inlineStr">
        <is>
          <t>2024-04-19</t>
        </is>
      </c>
      <c r="C312" t="inlineStr">
        <is>
          <t>AS</t>
        </is>
      </c>
      <c r="D312" t="inlineStr">
        <is>
          <t>MSY</t>
        </is>
      </c>
      <c r="E312" t="inlineStr">
        <is>
          <t>SEA</t>
        </is>
      </c>
      <c r="F312" t="inlineStr">
        <is>
          <t>MSY-SEA</t>
        </is>
      </c>
      <c r="G312" t="n">
        <v>18</v>
      </c>
      <c r="H312" t="n">
        <v>1</v>
      </c>
      <c r="I312" t="n">
        <v>0.99617</v>
      </c>
      <c r="J312" t="n">
        <v>1</v>
      </c>
      <c r="K312" t="n">
        <v>89</v>
      </c>
      <c r="L312" t="inlineStr">
        <is>
          <t>projected turn slack (min)=-29 (+4.12); aircraft's latest known departure delay=89 (+0.87); inbound leg departure delay (if departed by cutoff)=89 (+0.76)</t>
        </is>
      </c>
    </row>
    <row r="313">
      <c r="A313" t="inlineStr">
        <is>
          <t>d18645ad6b753e56829fcb5d1205970c</t>
        </is>
      </c>
      <c r="B313" t="inlineStr">
        <is>
          <t>2024-04-11</t>
        </is>
      </c>
      <c r="C313" t="inlineStr">
        <is>
          <t>DL</t>
        </is>
      </c>
      <c r="D313" t="inlineStr">
        <is>
          <t>MIA</t>
        </is>
      </c>
      <c r="E313" t="inlineStr">
        <is>
          <t>RDU</t>
        </is>
      </c>
      <c r="F313" t="inlineStr">
        <is>
          <t>MIA-RDU</t>
        </is>
      </c>
      <c r="G313" t="n">
        <v>18</v>
      </c>
      <c r="H313" t="n">
        <v>1</v>
      </c>
      <c r="I313" t="n">
        <v>0.99617</v>
      </c>
      <c r="J313" t="n">
        <v>1</v>
      </c>
      <c r="K313" t="n">
        <v>90</v>
      </c>
      <c r="L313" t="inlineStr">
        <is>
          <t>projected turn slack (min)=-35 (+2.65); inbound leg overdue, not yet departed (min)=90 (+0.82); aircraft's latest known departure delay=114 (+0.72)</t>
        </is>
      </c>
    </row>
    <row r="314">
      <c r="A314" t="inlineStr">
        <is>
          <t>e4671940675925c8b4432c69f7afc35b</t>
        </is>
      </c>
      <c r="B314" t="inlineStr">
        <is>
          <t>2024-04-11</t>
        </is>
      </c>
      <c r="C314" t="inlineStr">
        <is>
          <t>UA</t>
        </is>
      </c>
      <c r="D314" t="inlineStr">
        <is>
          <t>MIA</t>
        </is>
      </c>
      <c r="E314" t="inlineStr">
        <is>
          <t>ORD</t>
        </is>
      </c>
      <c r="F314" t="inlineStr">
        <is>
          <t>MIA-ORD</t>
        </is>
      </c>
      <c r="G314" t="n">
        <v>12</v>
      </c>
      <c r="H314" t="n">
        <v>1</v>
      </c>
      <c r="I314" t="n">
        <v>0.99617</v>
      </c>
      <c r="J314" t="n">
        <v>1</v>
      </c>
      <c r="K314" t="n">
        <v>133</v>
      </c>
      <c r="L314" t="inlineStr">
        <is>
          <t>projected turn slack (min)=-71 (+3.97); aircraft's latest known departure delay=133 (+0.86); inbound leg departure delay (if departed by cutoff)=133 (+0.73)</t>
        </is>
      </c>
    </row>
    <row r="315">
      <c r="A315" t="inlineStr">
        <is>
          <t>4d04fa96664250fb3a32d029f2062992</t>
        </is>
      </c>
      <c r="B315" t="inlineStr">
        <is>
          <t>2024-04-05</t>
        </is>
      </c>
      <c r="C315" t="inlineStr">
        <is>
          <t>AS</t>
        </is>
      </c>
      <c r="D315" t="inlineStr">
        <is>
          <t>EWR</t>
        </is>
      </c>
      <c r="E315" t="inlineStr">
        <is>
          <t>LAX</t>
        </is>
      </c>
      <c r="F315" t="inlineStr">
        <is>
          <t>EWR-LAX</t>
        </is>
      </c>
      <c r="G315" t="n">
        <v>19</v>
      </c>
      <c r="H315" t="n">
        <v>1</v>
      </c>
      <c r="I315" t="n">
        <v>0.99616</v>
      </c>
      <c r="J315" t="n">
        <v>1</v>
      </c>
      <c r="K315" t="n">
        <v>112</v>
      </c>
      <c r="L315" t="inlineStr">
        <is>
          <t>projected turn slack (min)=-52 (+3.88); aircraft's latest known departure delay=112 (+0.90); inbound leg departure delay (if departed by cutoff)=112 (+0.76)</t>
        </is>
      </c>
    </row>
    <row r="316">
      <c r="A316" t="inlineStr">
        <is>
          <t>15ec5e75dfd445d51110f0861d2b75dd</t>
        </is>
      </c>
      <c r="B316" t="inlineStr">
        <is>
          <t>2024-04-12</t>
        </is>
      </c>
      <c r="C316" t="inlineStr">
        <is>
          <t>NK</t>
        </is>
      </c>
      <c r="D316" t="inlineStr">
        <is>
          <t>BOS</t>
        </is>
      </c>
      <c r="E316" t="inlineStr">
        <is>
          <t>MIA</t>
        </is>
      </c>
      <c r="F316" t="inlineStr">
        <is>
          <t>BOS-MIA</t>
        </is>
      </c>
      <c r="G316" t="n">
        <v>18</v>
      </c>
      <c r="H316" t="n">
        <v>1</v>
      </c>
      <c r="I316" t="n">
        <v>0.99615</v>
      </c>
      <c r="J316" t="n">
        <v>1</v>
      </c>
      <c r="K316" t="n">
        <v>107</v>
      </c>
      <c r="L316" t="inlineStr">
        <is>
          <t>projected turn slack (min)=-52 (+3.95); aircraft's latest known departure delay=107 (+0.88); inbound leg departure delay (if departed by cutoff)=107 (+0.76)</t>
        </is>
      </c>
    </row>
    <row r="317">
      <c r="A317" t="inlineStr">
        <is>
          <t>9443cc5259a06581d8480be7d9ecbf9c</t>
        </is>
      </c>
      <c r="B317" t="inlineStr">
        <is>
          <t>2024-04-07</t>
        </is>
      </c>
      <c r="C317" t="inlineStr">
        <is>
          <t>G4</t>
        </is>
      </c>
      <c r="D317" t="inlineStr">
        <is>
          <t>TVC</t>
        </is>
      </c>
      <c r="E317" t="inlineStr">
        <is>
          <t>PIE</t>
        </is>
      </c>
      <c r="F317" t="inlineStr">
        <is>
          <t>TVC-PIE</t>
        </is>
      </c>
      <c r="G317" t="n">
        <v>19</v>
      </c>
      <c r="H317" t="n">
        <v>1</v>
      </c>
      <c r="I317" t="n">
        <v>0.99615</v>
      </c>
      <c r="J317" t="n">
        <v>1</v>
      </c>
      <c r="K317" t="n">
        <v>91</v>
      </c>
      <c r="L317" t="inlineStr">
        <is>
          <t>projected turn slack (min)=-41 (+4.46); aircraft's latest known departure delay=91 (+1.01); inbound leg departure delay (if departed by cutoff)=91 (+0.90)</t>
        </is>
      </c>
    </row>
    <row r="318">
      <c r="A318" t="inlineStr">
        <is>
          <t>ac4dd241cb35db599896beefc5990996</t>
        </is>
      </c>
      <c r="B318" t="inlineStr">
        <is>
          <t>2024-04-04</t>
        </is>
      </c>
      <c r="C318" t="inlineStr">
        <is>
          <t>AA</t>
        </is>
      </c>
      <c r="D318" t="inlineStr">
        <is>
          <t>STT</t>
        </is>
      </c>
      <c r="E318" t="inlineStr">
        <is>
          <t>CLT</t>
        </is>
      </c>
      <c r="F318" t="inlineStr">
        <is>
          <t>STT-CLT</t>
        </is>
      </c>
      <c r="G318" t="n">
        <v>15</v>
      </c>
      <c r="H318" t="n">
        <v>1</v>
      </c>
      <c r="I318" t="n">
        <v>0.99615</v>
      </c>
      <c r="J318" t="n">
        <v>1</v>
      </c>
      <c r="K318" t="n">
        <v>85</v>
      </c>
      <c r="L318" t="inlineStr">
        <is>
          <t>projected turn slack (min)=-45 (+3.80); aircraft's latest known departure delay=85 (+0.84); inbound leg departure delay (if departed by cutoff)=85 (+0.82)</t>
        </is>
      </c>
    </row>
    <row r="319">
      <c r="A319" t="inlineStr">
        <is>
          <t>f79a20f1c8e2340bbe337d04994cdbc0</t>
        </is>
      </c>
      <c r="B319" t="inlineStr">
        <is>
          <t>2024-04-04</t>
        </is>
      </c>
      <c r="C319" t="inlineStr">
        <is>
          <t>B6</t>
        </is>
      </c>
      <c r="D319" t="inlineStr">
        <is>
          <t>SAT</t>
        </is>
      </c>
      <c r="E319" t="inlineStr">
        <is>
          <t>JFK</t>
        </is>
      </c>
      <c r="F319" t="inlineStr">
        <is>
          <t>SAT-JFK</t>
        </is>
      </c>
      <c r="G319" t="n">
        <v>13</v>
      </c>
      <c r="H319" t="n">
        <v>1</v>
      </c>
      <c r="I319" t="n">
        <v>0.99615</v>
      </c>
      <c r="J319" t="n">
        <v>1</v>
      </c>
      <c r="K319" t="n">
        <v>92</v>
      </c>
      <c r="L319" t="inlineStr">
        <is>
          <t>projected turn slack (min)=-37 (+3.73); inbound leg departure delay (if departed by cutoff)=92 (+0.75); aircraft's latest known departure delay=92 (+0.74)</t>
        </is>
      </c>
    </row>
    <row r="320">
      <c r="A320" t="inlineStr">
        <is>
          <t>6e3052a7783e22eab0678d20bc9bf6fa</t>
        </is>
      </c>
      <c r="B320" t="inlineStr">
        <is>
          <t>2024-04-03</t>
        </is>
      </c>
      <c r="C320" t="inlineStr">
        <is>
          <t>B6</t>
        </is>
      </c>
      <c r="D320" t="inlineStr">
        <is>
          <t>FLL</t>
        </is>
      </c>
      <c r="E320" t="inlineStr">
        <is>
          <t>LAX</t>
        </is>
      </c>
      <c r="F320" t="inlineStr">
        <is>
          <t>FLL-LAX</t>
        </is>
      </c>
      <c r="G320" t="n">
        <v>21</v>
      </c>
      <c r="H320" t="n">
        <v>1</v>
      </c>
      <c r="I320" t="n">
        <v>0.99614</v>
      </c>
      <c r="J320" t="n">
        <v>1</v>
      </c>
      <c r="K320" t="n">
        <v>161</v>
      </c>
      <c r="L320" t="inlineStr">
        <is>
          <t>projected turn slack (min)=-74 (+3.77); inbound leg departure delay (if departed by cutoff)=161 (+0.66); aircraft's latest known departure delay=161 (+0.65)</t>
        </is>
      </c>
    </row>
    <row r="321">
      <c r="A321" t="inlineStr">
        <is>
          <t>ad77f143a8e04f217a06786064d62fb4</t>
        </is>
      </c>
      <c r="B321" t="inlineStr">
        <is>
          <t>2024-04-02</t>
        </is>
      </c>
      <c r="C321" t="inlineStr">
        <is>
          <t>AA</t>
        </is>
      </c>
      <c r="D321" t="inlineStr">
        <is>
          <t>STT</t>
        </is>
      </c>
      <c r="E321" t="inlineStr">
        <is>
          <t>PHL</t>
        </is>
      </c>
      <c r="F321" t="inlineStr">
        <is>
          <t>STT-PHL</t>
        </is>
      </c>
      <c r="G321" t="n">
        <v>16</v>
      </c>
      <c r="H321" t="n">
        <v>1</v>
      </c>
      <c r="I321" t="n">
        <v>0.99614</v>
      </c>
      <c r="J321" t="n">
        <v>1</v>
      </c>
      <c r="K321" t="n">
        <v>102</v>
      </c>
      <c r="L321" t="inlineStr">
        <is>
          <t>projected turn slack (min)=-62 (+3.86); aircraft's latest known departure delay=102 (+1.13); inbound leg departure delay (if departed by cutoff)=102 (+0.76)</t>
        </is>
      </c>
    </row>
    <row r="322">
      <c r="A322" t="inlineStr">
        <is>
          <t>c885e378a3993a3e2b18c8a204735291</t>
        </is>
      </c>
      <c r="B322" t="inlineStr">
        <is>
          <t>2024-04-18</t>
        </is>
      </c>
      <c r="C322" t="inlineStr">
        <is>
          <t>WN</t>
        </is>
      </c>
      <c r="D322" t="inlineStr">
        <is>
          <t>STL</t>
        </is>
      </c>
      <c r="E322" t="inlineStr">
        <is>
          <t>LAS</t>
        </is>
      </c>
      <c r="F322" t="inlineStr">
        <is>
          <t>STL-LAS</t>
        </is>
      </c>
      <c r="G322" t="n">
        <v>21</v>
      </c>
      <c r="H322" t="n">
        <v>1</v>
      </c>
      <c r="I322" t="n">
        <v>0.99614</v>
      </c>
      <c r="J322" t="n">
        <v>1</v>
      </c>
      <c r="K322" t="n">
        <v>74</v>
      </c>
      <c r="L322" t="inlineStr">
        <is>
          <t>projected turn slack (min)=-24 (+3.11); aircraft's latest known departure delay=74 (+0.74); inbound leg departure delay (if departed by cutoff)=74 (+0.58)</t>
        </is>
      </c>
    </row>
    <row r="323">
      <c r="A323" t="inlineStr">
        <is>
          <t>07a7e1e1d17e7d8afc805b1cca537582</t>
        </is>
      </c>
      <c r="B323" t="inlineStr">
        <is>
          <t>2024-04-12</t>
        </is>
      </c>
      <c r="C323" t="inlineStr">
        <is>
          <t>NK</t>
        </is>
      </c>
      <c r="D323" t="inlineStr">
        <is>
          <t>BOS</t>
        </is>
      </c>
      <c r="E323" t="inlineStr">
        <is>
          <t>CLT</t>
        </is>
      </c>
      <c r="F323" t="inlineStr">
        <is>
          <t>BOS-CLT</t>
        </is>
      </c>
      <c r="G323" t="n">
        <v>22</v>
      </c>
      <c r="H323" t="n">
        <v>1</v>
      </c>
      <c r="I323" t="n">
        <v>0.99613</v>
      </c>
      <c r="J323" t="n">
        <v>1</v>
      </c>
      <c r="K323" t="n">
        <v>96</v>
      </c>
      <c r="L323" t="inlineStr">
        <is>
          <t>projected turn slack (min)=-46 (+3.74); aircraft's latest known departure delay=96 (+0.98); inbound leg departure delay (if departed by cutoff)=96 (+0.77)</t>
        </is>
      </c>
    </row>
    <row r="324">
      <c r="A324" t="inlineStr">
        <is>
          <t>b979674391f5c21bf97019eb5c2c44f0</t>
        </is>
      </c>
      <c r="B324" t="inlineStr">
        <is>
          <t>2024-04-20</t>
        </is>
      </c>
      <c r="C324" t="inlineStr">
        <is>
          <t>DL</t>
        </is>
      </c>
      <c r="D324" t="inlineStr">
        <is>
          <t>JFK</t>
        </is>
      </c>
      <c r="E324" t="inlineStr">
        <is>
          <t>DFW</t>
        </is>
      </c>
      <c r="F324" t="inlineStr">
        <is>
          <t>JFK-DFW</t>
        </is>
      </c>
      <c r="G324" t="n">
        <v>18</v>
      </c>
      <c r="H324" t="n">
        <v>1</v>
      </c>
      <c r="I324" t="n">
        <v>0.99613</v>
      </c>
      <c r="J324" t="n">
        <v>1</v>
      </c>
      <c r="K324" t="n">
        <v>104</v>
      </c>
      <c r="L324" t="inlineStr">
        <is>
          <t>projected turn slack (min)=-44 (+3.89); aircraft's latest known departure delay=104 (+0.82); inbound leg departure delay (if departed by cutoff)=104 (+0.81)</t>
        </is>
      </c>
    </row>
    <row r="325">
      <c r="A325" t="inlineStr">
        <is>
          <t>cf9dfb03c6b9a2f563e49bdb0b70cc61</t>
        </is>
      </c>
      <c r="B325" t="inlineStr">
        <is>
          <t>2024-04-03</t>
        </is>
      </c>
      <c r="C325" t="inlineStr">
        <is>
          <t>F9</t>
        </is>
      </c>
      <c r="D325" t="inlineStr">
        <is>
          <t>PHL</t>
        </is>
      </c>
      <c r="E325" t="inlineStr">
        <is>
          <t>MIA</t>
        </is>
      </c>
      <c r="F325" t="inlineStr">
        <is>
          <t>PHL-MIA</t>
        </is>
      </c>
      <c r="G325" t="n">
        <v>16</v>
      </c>
      <c r="H325" t="n">
        <v>1</v>
      </c>
      <c r="I325" t="n">
        <v>0.99613</v>
      </c>
      <c r="J325" t="n">
        <v>1</v>
      </c>
      <c r="K325" t="n">
        <v>167</v>
      </c>
      <c r="L325" t="inlineStr">
        <is>
          <t>projected turn slack (min)=-63 (+3.32); destination temperature at sched. arrival (C)=28.3 (+0.60); aircraft's latest known departure delay=167 (+0.57)</t>
        </is>
      </c>
    </row>
    <row r="326">
      <c r="A326" t="inlineStr">
        <is>
          <t>c68fa31db7ebd1650c9fc8bbe74ecea4</t>
        </is>
      </c>
      <c r="B326" t="inlineStr">
        <is>
          <t>2024-04-03</t>
        </is>
      </c>
      <c r="C326" t="inlineStr">
        <is>
          <t>UA</t>
        </is>
      </c>
      <c r="D326" t="inlineStr">
        <is>
          <t>TPA</t>
        </is>
      </c>
      <c r="E326" t="inlineStr">
        <is>
          <t>IAH</t>
        </is>
      </c>
      <c r="F326" t="inlineStr">
        <is>
          <t>TPA-IAH</t>
        </is>
      </c>
      <c r="G326" t="n">
        <v>17</v>
      </c>
      <c r="H326" t="n">
        <v>1</v>
      </c>
      <c r="I326" t="n">
        <v>0.9961100000000001</v>
      </c>
      <c r="J326" t="n">
        <v>1</v>
      </c>
      <c r="K326" t="n">
        <v>81</v>
      </c>
      <c r="L326" t="inlineStr">
        <is>
          <t>projected turn slack (min)=-14 (+2.29); inbound leg overdue, not yet departed (min)=81 (+0.91); origin precipitation at cutoff (mm/h)=11.6 (+0.62)</t>
        </is>
      </c>
    </row>
    <row r="327">
      <c r="A327" t="inlineStr">
        <is>
          <t>fe32304cfb30386e0a9ae59f0d842b8e</t>
        </is>
      </c>
      <c r="B327" t="inlineStr">
        <is>
          <t>2024-04-20</t>
        </is>
      </c>
      <c r="C327" t="inlineStr">
        <is>
          <t>B6</t>
        </is>
      </c>
      <c r="D327" t="inlineStr">
        <is>
          <t>MSY</t>
        </is>
      </c>
      <c r="E327" t="inlineStr">
        <is>
          <t>BOS</t>
        </is>
      </c>
      <c r="F327" t="inlineStr">
        <is>
          <t>MSY-BOS</t>
        </is>
      </c>
      <c r="G327" t="n">
        <v>11</v>
      </c>
      <c r="H327" t="n">
        <v>1</v>
      </c>
      <c r="I327" t="n">
        <v>0.9961100000000001</v>
      </c>
      <c r="J327" t="n">
        <v>1</v>
      </c>
      <c r="K327" t="n">
        <v>102</v>
      </c>
      <c r="L327" t="inlineStr">
        <is>
          <t>projected turn slack (min)=-42 (+3.96); aircraft's latest known departure delay=102 (+0.99); inbound leg departure delay (if departed by cutoff)=102 (+0.83)</t>
        </is>
      </c>
    </row>
    <row r="328">
      <c r="A328" t="inlineStr">
        <is>
          <t>4f009e42cc43a0ca8a0d825cb300f7e0</t>
        </is>
      </c>
      <c r="B328" t="inlineStr">
        <is>
          <t>2024-04-28</t>
        </is>
      </c>
      <c r="C328" t="inlineStr">
        <is>
          <t>DL</t>
        </is>
      </c>
      <c r="D328" t="inlineStr">
        <is>
          <t>IAH</t>
        </is>
      </c>
      <c r="E328" t="inlineStr">
        <is>
          <t>LGA</t>
        </is>
      </c>
      <c r="F328" t="inlineStr">
        <is>
          <t>IAH-LGA</t>
        </is>
      </c>
      <c r="G328" t="n">
        <v>14</v>
      </c>
      <c r="H328" t="n">
        <v>1</v>
      </c>
      <c r="I328" t="n">
        <v>0.9961</v>
      </c>
      <c r="J328" t="n">
        <v>1</v>
      </c>
      <c r="K328" t="n">
        <v>98</v>
      </c>
      <c r="L328" t="inlineStr">
        <is>
          <t>projected turn slack (min)=-43 (+3.84); inbound leg departure delay (if departed by cutoff)=98 (+0.77); aircraft's latest known departure delay=98 (+0.72)</t>
        </is>
      </c>
    </row>
    <row r="329">
      <c r="A329" t="inlineStr">
        <is>
          <t>99c8520941786c44e1e0d372f9e9299f</t>
        </is>
      </c>
      <c r="B329" t="inlineStr">
        <is>
          <t>2024-04-03</t>
        </is>
      </c>
      <c r="C329" t="inlineStr">
        <is>
          <t>WN</t>
        </is>
      </c>
      <c r="D329" t="inlineStr">
        <is>
          <t>LAX</t>
        </is>
      </c>
      <c r="E329" t="inlineStr">
        <is>
          <t>STL</t>
        </is>
      </c>
      <c r="F329" t="inlineStr">
        <is>
          <t>LAX-STL</t>
        </is>
      </c>
      <c r="G329" t="n">
        <v>18</v>
      </c>
      <c r="H329" t="n">
        <v>1</v>
      </c>
      <c r="I329" t="n">
        <v>0.9961</v>
      </c>
      <c r="J329" t="n">
        <v>1</v>
      </c>
      <c r="K329" t="n">
        <v>111</v>
      </c>
      <c r="L329" t="inlineStr">
        <is>
          <t>projected turn slack (min)=-61 (+4.04); aircraft's latest known departure delay=111 (+1.06); inbound leg departure delay (if departed by cutoff)=111 (+0.82)</t>
        </is>
      </c>
    </row>
    <row r="330">
      <c r="A330" t="inlineStr">
        <is>
          <t>a7cb587a502373ea35dbb178ce2679e9</t>
        </is>
      </c>
      <c r="B330" t="inlineStr">
        <is>
          <t>2024-04-03</t>
        </is>
      </c>
      <c r="C330" t="inlineStr">
        <is>
          <t>F9</t>
        </is>
      </c>
      <c r="D330" t="inlineStr">
        <is>
          <t>SJU</t>
        </is>
      </c>
      <c r="E330" t="inlineStr">
        <is>
          <t>PHL</t>
        </is>
      </c>
      <c r="F330" t="inlineStr">
        <is>
          <t>SJU-PHL</t>
        </is>
      </c>
      <c r="G330" t="n">
        <v>10</v>
      </c>
      <c r="H330" t="n">
        <v>1</v>
      </c>
      <c r="I330" t="n">
        <v>0.9961</v>
      </c>
      <c r="J330" t="n">
        <v>1</v>
      </c>
      <c r="K330" t="n">
        <v>97</v>
      </c>
      <c r="L330" t="inlineStr">
        <is>
          <t>projected turn slack (min)=-37 (+3.73); aircraft's latest known departure delay=97 (+0.80); inbound leg departure delay (if departed by cutoff)=97 (+0.58)</t>
        </is>
      </c>
    </row>
    <row r="331">
      <c r="A331" t="inlineStr">
        <is>
          <t>5aefbaf945d1de941a5afcf1bdb5f3af</t>
        </is>
      </c>
      <c r="B331" t="inlineStr">
        <is>
          <t>2024-04-11</t>
        </is>
      </c>
      <c r="C331" t="inlineStr">
        <is>
          <t>WN</t>
        </is>
      </c>
      <c r="D331" t="inlineStr">
        <is>
          <t>MCO</t>
        </is>
      </c>
      <c r="E331" t="inlineStr">
        <is>
          <t>MKE</t>
        </is>
      </c>
      <c r="F331" t="inlineStr">
        <is>
          <t>MCO-MKE</t>
        </is>
      </c>
      <c r="G331" t="n">
        <v>20</v>
      </c>
      <c r="H331" t="n">
        <v>1</v>
      </c>
      <c r="I331" t="n">
        <v>0.99609</v>
      </c>
      <c r="J331" t="n">
        <v>1</v>
      </c>
      <c r="K331" t="n">
        <v>95</v>
      </c>
      <c r="L331" t="inlineStr">
        <is>
          <t>projected turn slack (min)=-55 (+2.38); aircraft's latest known departure delay=137 (+0.74); inbound leg overdue, not yet departed (min)=95 (+0.70)</t>
        </is>
      </c>
    </row>
    <row r="332">
      <c r="A332" t="inlineStr">
        <is>
          <t>859ab25582874e326c0e50e7d1fea274</t>
        </is>
      </c>
      <c r="B332" t="inlineStr">
        <is>
          <t>2024-04-11</t>
        </is>
      </c>
      <c r="C332" t="inlineStr">
        <is>
          <t>AS</t>
        </is>
      </c>
      <c r="D332" t="inlineStr">
        <is>
          <t>HNL</t>
        </is>
      </c>
      <c r="E332" t="inlineStr">
        <is>
          <t>SFO</t>
        </is>
      </c>
      <c r="F332" t="inlineStr">
        <is>
          <t>HNL-SFO</t>
        </is>
      </c>
      <c r="G332" t="n">
        <v>12</v>
      </c>
      <c r="H332" t="n">
        <v>1</v>
      </c>
      <c r="I332" t="n">
        <v>0.99609</v>
      </c>
      <c r="J332" t="n">
        <v>1</v>
      </c>
      <c r="K332" t="n">
        <v>116</v>
      </c>
      <c r="L332" t="inlineStr">
        <is>
          <t>projected turn slack (min)=-56 (+3.98); aircraft's latest known departure delay=116 (+0.90); inbound leg departure delay (if departed by cutoff)=116 (+0.79)</t>
        </is>
      </c>
    </row>
    <row r="333">
      <c r="A333" t="inlineStr">
        <is>
          <t>af3723c678e5860562433e73ccb146aa</t>
        </is>
      </c>
      <c r="B333" t="inlineStr">
        <is>
          <t>2024-04-10</t>
        </is>
      </c>
      <c r="C333" t="inlineStr">
        <is>
          <t>AA</t>
        </is>
      </c>
      <c r="D333" t="inlineStr">
        <is>
          <t>LGA</t>
        </is>
      </c>
      <c r="E333" t="inlineStr">
        <is>
          <t>DFW</t>
        </is>
      </c>
      <c r="F333" t="inlineStr">
        <is>
          <t>LGA-DFW</t>
        </is>
      </c>
      <c r="G333" t="n">
        <v>16</v>
      </c>
      <c r="H333" t="n">
        <v>1</v>
      </c>
      <c r="I333" t="n">
        <v>0.99609</v>
      </c>
      <c r="J333" t="n">
        <v>1</v>
      </c>
      <c r="K333" t="n">
        <v>107</v>
      </c>
      <c r="L333" t="inlineStr">
        <is>
          <t>projected turn slack (min)=-49 (+3.79); aircraft's latest known departure delay=107 (+0.81); inbound leg departure delay (if departed by cutoff)=107 (+0.78)</t>
        </is>
      </c>
    </row>
    <row r="334">
      <c r="A334" t="inlineStr">
        <is>
          <t>ab87971549ee2a9d034471a76e3aa75f</t>
        </is>
      </c>
      <c r="B334" t="inlineStr">
        <is>
          <t>2024-04-03</t>
        </is>
      </c>
      <c r="C334" t="inlineStr">
        <is>
          <t>WN</t>
        </is>
      </c>
      <c r="D334" t="inlineStr">
        <is>
          <t>ORD</t>
        </is>
      </c>
      <c r="E334" t="inlineStr">
        <is>
          <t>MCO</t>
        </is>
      </c>
      <c r="F334" t="inlineStr">
        <is>
          <t>ORD-MCO</t>
        </is>
      </c>
      <c r="G334" t="n">
        <v>13</v>
      </c>
      <c r="H334" t="n">
        <v>1</v>
      </c>
      <c r="I334" t="n">
        <v>0.99608</v>
      </c>
      <c r="J334" t="n">
        <v>1</v>
      </c>
      <c r="K334" t="n">
        <v>96</v>
      </c>
      <c r="L334" t="inlineStr">
        <is>
          <t>projected turn slack (min)=-51 (+3.00); aircraft's latest known departure delay=96 (+0.64); inbound leg departure delay (if departed by cutoff)=96 (+0.59)</t>
        </is>
      </c>
    </row>
    <row r="335">
      <c r="A335" t="inlineStr">
        <is>
          <t>c7e040975375880dffcb0febefcabb51</t>
        </is>
      </c>
      <c r="B335" t="inlineStr">
        <is>
          <t>2024-04-11</t>
        </is>
      </c>
      <c r="C335" t="inlineStr">
        <is>
          <t>F9</t>
        </is>
      </c>
      <c r="D335" t="inlineStr">
        <is>
          <t>SJU</t>
        </is>
      </c>
      <c r="E335" t="inlineStr">
        <is>
          <t>MIA</t>
        </is>
      </c>
      <c r="F335" t="inlineStr">
        <is>
          <t>SJU-MIA</t>
        </is>
      </c>
      <c r="G335" t="n">
        <v>15</v>
      </c>
      <c r="H335" t="n">
        <v>1</v>
      </c>
      <c r="I335" t="n">
        <v>0.99608</v>
      </c>
      <c r="J335" t="n">
        <v>1</v>
      </c>
      <c r="K335" t="n">
        <v>107</v>
      </c>
      <c r="L335" t="inlineStr">
        <is>
          <t>projected turn slack (min)=-44 (+2.48); aircraft's latest known departure delay=158 (+0.96); inbound leg overdue, not yet departed (min)=107 (+0.71)</t>
        </is>
      </c>
    </row>
    <row r="336">
      <c r="A336" t="inlineStr">
        <is>
          <t>7eab55f8553a6eaad45f45c7c4e1d483</t>
        </is>
      </c>
      <c r="B336" t="inlineStr">
        <is>
          <t>2024-04-22</t>
        </is>
      </c>
      <c r="C336" t="inlineStr">
        <is>
          <t>F9</t>
        </is>
      </c>
      <c r="D336" t="inlineStr">
        <is>
          <t>TPA</t>
        </is>
      </c>
      <c r="E336" t="inlineStr">
        <is>
          <t>DEN</t>
        </is>
      </c>
      <c r="F336" t="inlineStr">
        <is>
          <t>TPA-DEN</t>
        </is>
      </c>
      <c r="G336" t="n">
        <v>22</v>
      </c>
      <c r="H336" t="n">
        <v>1</v>
      </c>
      <c r="I336" t="n">
        <v>0.99607</v>
      </c>
      <c r="J336" t="n">
        <v>1</v>
      </c>
      <c r="K336" t="n">
        <v>81</v>
      </c>
      <c r="L336" t="inlineStr">
        <is>
          <t>projected turn slack (min)=-31 (+3.99); aircraft's latest known departure delay=81 (+0.86); inbound leg departure delay (if departed by cutoff)=81 (+0.79)</t>
        </is>
      </c>
    </row>
    <row r="337">
      <c r="A337" t="inlineStr">
        <is>
          <t>916bb14c7364e4df21581fafd6752f71</t>
        </is>
      </c>
      <c r="B337" t="inlineStr">
        <is>
          <t>2024-04-05</t>
        </is>
      </c>
      <c r="C337" t="inlineStr">
        <is>
          <t>B6</t>
        </is>
      </c>
      <c r="D337" t="inlineStr">
        <is>
          <t>BDL</t>
        </is>
      </c>
      <c r="E337" t="inlineStr">
        <is>
          <t>MCO</t>
        </is>
      </c>
      <c r="F337" t="inlineStr">
        <is>
          <t>BDL-MCO</t>
        </is>
      </c>
      <c r="G337" t="n">
        <v>18</v>
      </c>
      <c r="H337" t="n">
        <v>1</v>
      </c>
      <c r="I337" t="n">
        <v>0.99607</v>
      </c>
      <c r="J337" t="n">
        <v>1</v>
      </c>
      <c r="K337" t="n">
        <v>121</v>
      </c>
      <c r="L337" t="inlineStr">
        <is>
          <t>projected turn slack (min)=-51 (+4.16); aircraft's latest known departure delay=121 (+0.96); inbound leg departure delay (if departed by cutoff)=121 (+0.75)</t>
        </is>
      </c>
    </row>
    <row r="338">
      <c r="A338" t="inlineStr">
        <is>
          <t>f81bffc15a46a0922f883fdc29a8f2b0</t>
        </is>
      </c>
      <c r="B338" t="inlineStr">
        <is>
          <t>2024-04-22</t>
        </is>
      </c>
      <c r="C338" t="inlineStr">
        <is>
          <t>G4</t>
        </is>
      </c>
      <c r="D338" t="inlineStr">
        <is>
          <t>LAS</t>
        </is>
      </c>
      <c r="E338" t="inlineStr">
        <is>
          <t>IND</t>
        </is>
      </c>
      <c r="F338" t="inlineStr">
        <is>
          <t>LAS-IND</t>
        </is>
      </c>
      <c r="G338" t="n">
        <v>15</v>
      </c>
      <c r="H338" t="n">
        <v>1</v>
      </c>
      <c r="I338" t="n">
        <v>0.99607</v>
      </c>
      <c r="J338" t="n">
        <v>1</v>
      </c>
      <c r="K338" t="n">
        <v>130</v>
      </c>
      <c r="L338" t="inlineStr">
        <is>
          <t>projected turn slack (min)=-80 (+4.23); inbound leg departure delay (if departed by cutoff)=130 (+0.85); aircraft's latest known departure delay=130 (+0.80)</t>
        </is>
      </c>
    </row>
    <row r="339">
      <c r="A339" t="inlineStr">
        <is>
          <t>5fa6dec1e6eb9ee67ba0f7cc4fa63140</t>
        </is>
      </c>
      <c r="B339" t="inlineStr">
        <is>
          <t>2024-04-21</t>
        </is>
      </c>
      <c r="C339" t="inlineStr">
        <is>
          <t>UA</t>
        </is>
      </c>
      <c r="D339" t="inlineStr">
        <is>
          <t>TPA</t>
        </is>
      </c>
      <c r="E339" t="inlineStr">
        <is>
          <t>EWR</t>
        </is>
      </c>
      <c r="F339" t="inlineStr">
        <is>
          <t>TPA-EWR</t>
        </is>
      </c>
      <c r="G339" t="n">
        <v>17</v>
      </c>
      <c r="H339" t="n">
        <v>1</v>
      </c>
      <c r="I339" t="n">
        <v>0.9960599999999999</v>
      </c>
      <c r="J339" t="n">
        <v>1</v>
      </c>
      <c r="K339" t="n">
        <v>102</v>
      </c>
      <c r="L339" t="inlineStr">
        <is>
          <t>projected turn slack (min)=-36 (+4.21); aircraft's latest known departure delay=102 (+0.90); inbound leg departure delay (if departed by cutoff)=102 (+0.74)</t>
        </is>
      </c>
    </row>
    <row r="340">
      <c r="A340" t="inlineStr">
        <is>
          <t>e0f4dac16c669cbf4800b17c5d87d990</t>
        </is>
      </c>
      <c r="B340" t="inlineStr">
        <is>
          <t>2024-04-03</t>
        </is>
      </c>
      <c r="C340" t="inlineStr">
        <is>
          <t>AS</t>
        </is>
      </c>
      <c r="D340" t="inlineStr">
        <is>
          <t>MIA</t>
        </is>
      </c>
      <c r="E340" t="inlineStr">
        <is>
          <t>SEA</t>
        </is>
      </c>
      <c r="F340" t="inlineStr">
        <is>
          <t>MIA-SEA</t>
        </is>
      </c>
      <c r="G340" t="n">
        <v>17</v>
      </c>
      <c r="H340" t="n">
        <v>1</v>
      </c>
      <c r="I340" t="n">
        <v>0.9960599999999999</v>
      </c>
      <c r="J340" t="n">
        <v>1</v>
      </c>
      <c r="K340" t="n">
        <v>222</v>
      </c>
      <c r="L340" t="inlineStr">
        <is>
          <t>projected turn slack (min)=-150 (+3.51); inbound leg departure delay (if departed by cutoff)=222 (+0.73); aircraft's latest known departure delay=222 (+0.67)</t>
        </is>
      </c>
    </row>
    <row r="341">
      <c r="A341" t="inlineStr">
        <is>
          <t>6f657b1fb4eccc07fb4715fa35ec0c89</t>
        </is>
      </c>
      <c r="B341" t="inlineStr">
        <is>
          <t>2024-04-28</t>
        </is>
      </c>
      <c r="C341" t="inlineStr">
        <is>
          <t>B6</t>
        </is>
      </c>
      <c r="D341" t="inlineStr">
        <is>
          <t>ABQ</t>
        </is>
      </c>
      <c r="E341" t="inlineStr">
        <is>
          <t>JFK</t>
        </is>
      </c>
      <c r="F341" t="inlineStr">
        <is>
          <t>ABQ-JFK</t>
        </is>
      </c>
      <c r="G341" t="n">
        <v>23</v>
      </c>
      <c r="H341" t="n">
        <v>1</v>
      </c>
      <c r="I341" t="n">
        <v>0.99605</v>
      </c>
      <c r="J341" t="n">
        <v>1</v>
      </c>
      <c r="K341" t="n">
        <v>181</v>
      </c>
      <c r="L341" t="inlineStr">
        <is>
          <t>projected turn slack (min)=-126 (+3.95); aircraft's latest known departure delay=181 (+1.10); inbound leg departure delay (if departed by cutoff)=181 (+0.73)</t>
        </is>
      </c>
    </row>
    <row r="342">
      <c r="A342" t="inlineStr">
        <is>
          <t>7397460c344f79765b6cfc7484e87738</t>
        </is>
      </c>
      <c r="B342" t="inlineStr">
        <is>
          <t>2024-04-14</t>
        </is>
      </c>
      <c r="C342" t="inlineStr">
        <is>
          <t>WN</t>
        </is>
      </c>
      <c r="D342" t="inlineStr">
        <is>
          <t>HOU</t>
        </is>
      </c>
      <c r="E342" t="inlineStr">
        <is>
          <t>DAL</t>
        </is>
      </c>
      <c r="F342" t="inlineStr">
        <is>
          <t>HOU-DAL</t>
        </is>
      </c>
      <c r="G342" t="n">
        <v>16</v>
      </c>
      <c r="H342" t="n">
        <v>1</v>
      </c>
      <c r="I342" t="n">
        <v>0.99605</v>
      </c>
      <c r="J342" t="n">
        <v>1</v>
      </c>
      <c r="K342" t="n">
        <v>97</v>
      </c>
      <c r="L342" t="inlineStr">
        <is>
          <t>projected turn slack (min)=-52 (+4.01); aircraft's latest known departure delay=97 (+1.03); inbound leg departure delay (if departed by cutoff)=97 (+0.80)</t>
        </is>
      </c>
    </row>
    <row r="343">
      <c r="A343" t="inlineStr">
        <is>
          <t>8a8bf6e43695de88252f42765d2fb28b</t>
        </is>
      </c>
      <c r="B343" t="inlineStr">
        <is>
          <t>2024-04-26</t>
        </is>
      </c>
      <c r="C343" t="inlineStr">
        <is>
          <t>UA</t>
        </is>
      </c>
      <c r="D343" t="inlineStr">
        <is>
          <t>SFO</t>
        </is>
      </c>
      <c r="E343" t="inlineStr">
        <is>
          <t>LAS</t>
        </is>
      </c>
      <c r="F343" t="inlineStr">
        <is>
          <t>SFO-LAS</t>
        </is>
      </c>
      <c r="G343" t="n">
        <v>20</v>
      </c>
      <c r="H343" t="n">
        <v>1</v>
      </c>
      <c r="I343" t="n">
        <v>0.99605</v>
      </c>
      <c r="J343" t="n">
        <v>1</v>
      </c>
      <c r="K343" t="n">
        <v>112</v>
      </c>
      <c r="L343" t="inlineStr">
        <is>
          <t>projected turn slack (min)=-45 (+3.82); aircraft's latest known departure delay=112 (+0.85); inbound leg departure delay (if departed by cutoff)=112 (+0.68)</t>
        </is>
      </c>
    </row>
    <row r="344">
      <c r="A344" t="inlineStr">
        <is>
          <t>bf9c1e1b6d069ef46ec3cd55044291db</t>
        </is>
      </c>
      <c r="B344" t="inlineStr">
        <is>
          <t>2024-04-07</t>
        </is>
      </c>
      <c r="C344" t="inlineStr">
        <is>
          <t>AS</t>
        </is>
      </c>
      <c r="D344" t="inlineStr">
        <is>
          <t>PAE</t>
        </is>
      </c>
      <c r="E344" t="inlineStr">
        <is>
          <t>LAS</t>
        </is>
      </c>
      <c r="F344" t="inlineStr">
        <is>
          <t>PAE-LAS</t>
        </is>
      </c>
      <c r="G344" t="n">
        <v>18</v>
      </c>
      <c r="H344" t="n">
        <v>1</v>
      </c>
      <c r="I344" t="n">
        <v>0.99605</v>
      </c>
      <c r="J344" t="n">
        <v>1</v>
      </c>
      <c r="K344" t="n">
        <v>98</v>
      </c>
      <c r="L344" t="inlineStr">
        <is>
          <t>projected turn slack (min)=-42 (+4.19); aircraft's latest known departure delay=98 (+1.06); inbound leg departure delay (if departed by cutoff)=98 (+0.76)</t>
        </is>
      </c>
    </row>
    <row r="345">
      <c r="A345" t="inlineStr">
        <is>
          <t>cba1327de8d1c777088c4bb3ba41a72a</t>
        </is>
      </c>
      <c r="B345" t="inlineStr">
        <is>
          <t>2024-04-03</t>
        </is>
      </c>
      <c r="C345" t="inlineStr">
        <is>
          <t>WN</t>
        </is>
      </c>
      <c r="D345" t="inlineStr">
        <is>
          <t>TPA</t>
        </is>
      </c>
      <c r="E345" t="inlineStr">
        <is>
          <t>BWI</t>
        </is>
      </c>
      <c r="F345" t="inlineStr">
        <is>
          <t>TPA-BWI</t>
        </is>
      </c>
      <c r="G345" t="n">
        <v>21</v>
      </c>
      <c r="H345" t="n">
        <v>1</v>
      </c>
      <c r="I345" t="n">
        <v>0.99605</v>
      </c>
      <c r="J345" t="n">
        <v>1</v>
      </c>
      <c r="K345" t="n">
        <v>88</v>
      </c>
      <c r="L345" t="inlineStr">
        <is>
          <t>projected turn slack (min)=-28 (+3.41); aircraft's latest known departure delay=88 (+0.77); inbound leg departure delay (if departed by cutoff)=88 (+0.72)</t>
        </is>
      </c>
    </row>
    <row r="346">
      <c r="A346" t="inlineStr">
        <is>
          <t>1f9f5d55c0d0fe72a26962398357e945</t>
        </is>
      </c>
      <c r="B346" t="inlineStr">
        <is>
          <t>2024-04-17</t>
        </is>
      </c>
      <c r="C346" t="inlineStr">
        <is>
          <t>AS</t>
        </is>
      </c>
      <c r="D346" t="inlineStr">
        <is>
          <t>HNL</t>
        </is>
      </c>
      <c r="E346" t="inlineStr">
        <is>
          <t>PDX</t>
        </is>
      </c>
      <c r="F346" t="inlineStr">
        <is>
          <t>HNL-PDX</t>
        </is>
      </c>
      <c r="G346" t="n">
        <v>12</v>
      </c>
      <c r="H346" t="n">
        <v>1</v>
      </c>
      <c r="I346" t="n">
        <v>0.99604</v>
      </c>
      <c r="J346" t="n">
        <v>1</v>
      </c>
      <c r="K346" t="n">
        <v>124</v>
      </c>
      <c r="L346" t="inlineStr">
        <is>
          <t>projected turn slack (min)=-62 (+4.19); aircraft's latest known departure delay=124 (+0.91); inbound leg departure delay (if departed by cutoff)=124 (+0.79)</t>
        </is>
      </c>
    </row>
    <row r="347">
      <c r="A347" t="inlineStr">
        <is>
          <t>ecf61d2c54df370b72f0a12d51ab4146</t>
        </is>
      </c>
      <c r="B347" t="inlineStr">
        <is>
          <t>2024-04-27</t>
        </is>
      </c>
      <c r="C347" t="inlineStr">
        <is>
          <t>B6</t>
        </is>
      </c>
      <c r="D347" t="inlineStr">
        <is>
          <t>ABQ</t>
        </is>
      </c>
      <c r="E347" t="inlineStr">
        <is>
          <t>JFK</t>
        </is>
      </c>
      <c r="F347" t="inlineStr">
        <is>
          <t>ABQ-JFK</t>
        </is>
      </c>
      <c r="G347" t="n">
        <v>23</v>
      </c>
      <c r="H347" t="n">
        <v>1</v>
      </c>
      <c r="I347" t="n">
        <v>0.99604</v>
      </c>
      <c r="J347" t="n">
        <v>1</v>
      </c>
      <c r="K347" t="n">
        <v>104</v>
      </c>
      <c r="L347" t="inlineStr">
        <is>
          <t>projected turn slack (min)=-49 (+4.06); aircraft's latest known departure delay=104 (+1.08); inbound leg departure delay (if departed by cutoff)=104 (+0.75)</t>
        </is>
      </c>
    </row>
    <row r="348">
      <c r="A348" t="inlineStr">
        <is>
          <t>f01b1824dde6dd4d97a4809207c9162a</t>
        </is>
      </c>
      <c r="B348" t="inlineStr">
        <is>
          <t>2024-04-28</t>
        </is>
      </c>
      <c r="C348" t="inlineStr">
        <is>
          <t>AA</t>
        </is>
      </c>
      <c r="D348" t="inlineStr">
        <is>
          <t>SEA</t>
        </is>
      </c>
      <c r="E348" t="inlineStr">
        <is>
          <t>DFW</t>
        </is>
      </c>
      <c r="F348" t="inlineStr">
        <is>
          <t>SEA-DFW</t>
        </is>
      </c>
      <c r="G348" t="n">
        <v>13</v>
      </c>
      <c r="H348" t="n">
        <v>1</v>
      </c>
      <c r="I348" t="n">
        <v>0.99604</v>
      </c>
      <c r="J348" t="n">
        <v>1</v>
      </c>
      <c r="K348" t="n">
        <v>85</v>
      </c>
      <c r="L348" t="inlineStr">
        <is>
          <t>projected turn slack (min)=-30 (+3.74); inbound leg departure delay (if departed by cutoff)=85 (+0.76); aircraft's latest known departure delay=85 (+0.64)</t>
        </is>
      </c>
    </row>
    <row r="349">
      <c r="A349" t="inlineStr">
        <is>
          <t>fd2cd5b2883b562e0ccbe94f88d174f1</t>
        </is>
      </c>
      <c r="B349" t="inlineStr">
        <is>
          <t>2024-04-11</t>
        </is>
      </c>
      <c r="C349" t="inlineStr">
        <is>
          <t>AA</t>
        </is>
      </c>
      <c r="D349" t="inlineStr">
        <is>
          <t>ORD</t>
        </is>
      </c>
      <c r="E349" t="inlineStr">
        <is>
          <t>PHL</t>
        </is>
      </c>
      <c r="F349" t="inlineStr">
        <is>
          <t>ORD-PHL</t>
        </is>
      </c>
      <c r="G349" t="n">
        <v>18</v>
      </c>
      <c r="H349" t="n">
        <v>1</v>
      </c>
      <c r="I349" t="n">
        <v>0.99603</v>
      </c>
      <c r="J349" t="n">
        <v>1</v>
      </c>
      <c r="K349" t="n">
        <v>105</v>
      </c>
      <c r="L349" t="inlineStr">
        <is>
          <t>projected turn slack (min)=-44 (+3.79); aircraft's latest known departure delay=105 (+0.86); inbound leg departure delay (if departed by cutoff)=105 (+0.72)</t>
        </is>
      </c>
    </row>
    <row r="350">
      <c r="A350" t="inlineStr">
        <is>
          <t>05cfe3b64c6739bf5ec6fb48a6cd7de3</t>
        </is>
      </c>
      <c r="B350" t="inlineStr">
        <is>
          <t>2024-04-03</t>
        </is>
      </c>
      <c r="C350" t="inlineStr">
        <is>
          <t>WN</t>
        </is>
      </c>
      <c r="D350" t="inlineStr">
        <is>
          <t>MCO</t>
        </is>
      </c>
      <c r="E350" t="inlineStr">
        <is>
          <t>STL</t>
        </is>
      </c>
      <c r="F350" t="inlineStr">
        <is>
          <t>MCO-STL</t>
        </is>
      </c>
      <c r="G350" t="n">
        <v>21</v>
      </c>
      <c r="H350" t="n">
        <v>1</v>
      </c>
      <c r="I350" t="n">
        <v>0.99602</v>
      </c>
      <c r="J350" t="n">
        <v>1</v>
      </c>
      <c r="K350" t="n">
        <v>70</v>
      </c>
      <c r="L350" t="inlineStr">
        <is>
          <t>projected turn slack (min)=-30 (+2.45); aircraft's latest known departure delay=160 (+0.79); inbound leg overdue, not yet departed (min)=70 (+0.74)</t>
        </is>
      </c>
    </row>
    <row r="351">
      <c r="A351" t="inlineStr">
        <is>
          <t>82e04e3218369c1e7fbc3963de932efc</t>
        </is>
      </c>
      <c r="B351" t="inlineStr">
        <is>
          <t>2024-04-12</t>
        </is>
      </c>
      <c r="C351" t="inlineStr">
        <is>
          <t>UA</t>
        </is>
      </c>
      <c r="D351" t="inlineStr">
        <is>
          <t>SFO</t>
        </is>
      </c>
      <c r="E351" t="inlineStr">
        <is>
          <t>CLE</t>
        </is>
      </c>
      <c r="F351" t="inlineStr">
        <is>
          <t>SFO-CLE</t>
        </is>
      </c>
      <c r="G351" t="n">
        <v>23</v>
      </c>
      <c r="H351" t="n">
        <v>1</v>
      </c>
      <c r="I351" t="n">
        <v>0.99602</v>
      </c>
      <c r="J351" t="n">
        <v>1</v>
      </c>
      <c r="K351" t="n">
        <v>113</v>
      </c>
      <c r="L351" t="inlineStr">
        <is>
          <t>projected turn slack (min)=-50 (+3.74); aircraft's latest known departure delay=113 (+0.85); inbound leg departure delay (if departed by cutoff)=113 (+0.66)</t>
        </is>
      </c>
    </row>
    <row r="352">
      <c r="A352" t="inlineStr">
        <is>
          <t>00f32879244e6104fea59a4b487401d4</t>
        </is>
      </c>
      <c r="B352" t="inlineStr">
        <is>
          <t>2024-04-05</t>
        </is>
      </c>
      <c r="C352" t="inlineStr">
        <is>
          <t>UA</t>
        </is>
      </c>
      <c r="D352" t="inlineStr">
        <is>
          <t>EWR</t>
        </is>
      </c>
      <c r="E352" t="inlineStr">
        <is>
          <t>FLL</t>
        </is>
      </c>
      <c r="F352" t="inlineStr">
        <is>
          <t>EWR-FLL</t>
        </is>
      </c>
      <c r="G352" t="n">
        <v>16</v>
      </c>
      <c r="H352" t="n">
        <v>1</v>
      </c>
      <c r="I352" t="n">
        <v>0.99601</v>
      </c>
      <c r="J352" t="n">
        <v>1</v>
      </c>
      <c r="K352" t="n">
        <v>77</v>
      </c>
      <c r="L352" t="inlineStr">
        <is>
          <t>projected turn slack (min)=-44 (+3.83); inbound leg departure delay (if departed by cutoff)=77 (+0.72); aircraft's latest known departure delay=77 (+0.65)</t>
        </is>
      </c>
    </row>
    <row r="353">
      <c r="A353" t="inlineStr">
        <is>
          <t>134a90ad595da594bf3fb9ce7a588f9d</t>
        </is>
      </c>
      <c r="B353" t="inlineStr">
        <is>
          <t>2024-04-20</t>
        </is>
      </c>
      <c r="C353" t="inlineStr">
        <is>
          <t>DL</t>
        </is>
      </c>
      <c r="D353" t="inlineStr">
        <is>
          <t>LAS</t>
        </is>
      </c>
      <c r="E353" t="inlineStr">
        <is>
          <t>AUS</t>
        </is>
      </c>
      <c r="F353" t="inlineStr">
        <is>
          <t>LAS-AUS</t>
        </is>
      </c>
      <c r="G353" t="n">
        <v>10</v>
      </c>
      <c r="H353" t="n">
        <v>1</v>
      </c>
      <c r="I353" t="n">
        <v>0.99601</v>
      </c>
      <c r="J353" t="n">
        <v>1</v>
      </c>
      <c r="K353" t="n">
        <v>92</v>
      </c>
      <c r="L353" t="inlineStr">
        <is>
          <t>projected turn slack (min)=-29 (+3.83); aircraft's latest known departure delay=92 (+0.76); inbound leg departure delay (if departed by cutoff)=92 (+0.75)</t>
        </is>
      </c>
    </row>
    <row r="354">
      <c r="A354" t="inlineStr">
        <is>
          <t>71b9850bd9b1b9cc637c6ec29d9380c0</t>
        </is>
      </c>
      <c r="B354" t="inlineStr">
        <is>
          <t>2024-04-20</t>
        </is>
      </c>
      <c r="C354" t="inlineStr">
        <is>
          <t>F9</t>
        </is>
      </c>
      <c r="D354" t="inlineStr">
        <is>
          <t>CLT</t>
        </is>
      </c>
      <c r="E354" t="inlineStr">
        <is>
          <t>LGA</t>
        </is>
      </c>
      <c r="F354" t="inlineStr">
        <is>
          <t>CLT-LGA</t>
        </is>
      </c>
      <c r="G354" t="n">
        <v>13</v>
      </c>
      <c r="H354" t="n">
        <v>1</v>
      </c>
      <c r="I354" t="n">
        <v>0.99601</v>
      </c>
      <c r="J354" t="n">
        <v>1</v>
      </c>
      <c r="K354" t="n">
        <v>113</v>
      </c>
      <c r="L354" t="inlineStr">
        <is>
          <t>projected turn slack (min)=-53 (+3.98); aircraft's latest known departure delay=113 (+0.88); inbound leg departure delay (if departed by cutoff)=113 (+0.77)</t>
        </is>
      </c>
    </row>
    <row r="355">
      <c r="A355" t="inlineStr">
        <is>
          <t>9616e49d8e35dc3a33335361e53c8e80</t>
        </is>
      </c>
      <c r="B355" t="inlineStr">
        <is>
          <t>2024-04-13</t>
        </is>
      </c>
      <c r="C355" t="inlineStr">
        <is>
          <t>AA</t>
        </is>
      </c>
      <c r="D355" t="inlineStr">
        <is>
          <t>BWI</t>
        </is>
      </c>
      <c r="E355" t="inlineStr">
        <is>
          <t>DFW</t>
        </is>
      </c>
      <c r="F355" t="inlineStr">
        <is>
          <t>BWI-DFW</t>
        </is>
      </c>
      <c r="G355" t="n">
        <v>19</v>
      </c>
      <c r="H355" t="n">
        <v>1</v>
      </c>
      <c r="I355" t="n">
        <v>0.99601</v>
      </c>
      <c r="J355" t="n">
        <v>1</v>
      </c>
      <c r="K355" t="n">
        <v>92</v>
      </c>
      <c r="L355" t="inlineStr">
        <is>
          <t>projected turn slack (min)=-42 (+3.99); aircraft's latest known departure delay=92 (+0.90); inbound leg departure delay (if departed by cutoff)=92 (+0.80)</t>
        </is>
      </c>
    </row>
    <row r="356">
      <c r="A356" t="inlineStr">
        <is>
          <t>2ad5b3c61803c6798865a590476140f7</t>
        </is>
      </c>
      <c r="B356" t="inlineStr">
        <is>
          <t>2024-04-18</t>
        </is>
      </c>
      <c r="C356" t="inlineStr">
        <is>
          <t>F9</t>
        </is>
      </c>
      <c r="D356" t="inlineStr">
        <is>
          <t>JAX</t>
        </is>
      </c>
      <c r="E356" t="inlineStr">
        <is>
          <t>SJU</t>
        </is>
      </c>
      <c r="F356" t="inlineStr">
        <is>
          <t>JAX-SJU</t>
        </is>
      </c>
      <c r="G356" t="n">
        <v>15</v>
      </c>
      <c r="H356" t="n">
        <v>1</v>
      </c>
      <c r="I356" t="n">
        <v>0.996</v>
      </c>
      <c r="J356" t="n">
        <v>1</v>
      </c>
      <c r="K356" t="n">
        <v>127</v>
      </c>
      <c r="L356" t="inlineStr">
        <is>
          <t>projected turn slack (min)=-74 (+3.94); aircraft's latest known departure delay=127 (+0.96); inbound leg departure delay (if departed by cutoff)=127 (+0.71)</t>
        </is>
      </c>
    </row>
    <row r="357">
      <c r="A357" t="inlineStr">
        <is>
          <t>3a26de963887ca00d7824160d1c59e4e</t>
        </is>
      </c>
      <c r="B357" t="inlineStr">
        <is>
          <t>2024-04-05</t>
        </is>
      </c>
      <c r="C357" t="inlineStr">
        <is>
          <t>NK</t>
        </is>
      </c>
      <c r="D357" t="inlineStr">
        <is>
          <t>SAT</t>
        </is>
      </c>
      <c r="E357" t="inlineStr">
        <is>
          <t>MCO</t>
        </is>
      </c>
      <c r="F357" t="inlineStr">
        <is>
          <t>SAT-MCO</t>
        </is>
      </c>
      <c r="G357" t="n">
        <v>21</v>
      </c>
      <c r="H357" t="n">
        <v>1</v>
      </c>
      <c r="I357" t="n">
        <v>0.996</v>
      </c>
      <c r="J357" t="n">
        <v>1</v>
      </c>
      <c r="K357" t="n">
        <v>102</v>
      </c>
      <c r="L357" t="inlineStr">
        <is>
          <t>projected turn slack (min)=-47 (+4.22); aircraft's latest known departure delay=102 (+1.10); inbound leg departure delay (if departed by cutoff)=102 (+0.75)</t>
        </is>
      </c>
    </row>
    <row r="358">
      <c r="A358" t="inlineStr">
        <is>
          <t>514bf6d38181991eed1505ce1ccac7e3</t>
        </is>
      </c>
      <c r="B358" t="inlineStr">
        <is>
          <t>2024-04-28</t>
        </is>
      </c>
      <c r="C358" t="inlineStr">
        <is>
          <t>F9</t>
        </is>
      </c>
      <c r="D358" t="inlineStr">
        <is>
          <t>SFO</t>
        </is>
      </c>
      <c r="E358" t="inlineStr">
        <is>
          <t>DFW</t>
        </is>
      </c>
      <c r="F358" t="inlineStr">
        <is>
          <t>SFO-DFW</t>
        </is>
      </c>
      <c r="G358" t="n">
        <v>23</v>
      </c>
      <c r="H358" t="n">
        <v>1</v>
      </c>
      <c r="I358" t="n">
        <v>0.996</v>
      </c>
      <c r="J358" t="n">
        <v>1</v>
      </c>
      <c r="K358" t="n">
        <v>92</v>
      </c>
      <c r="L358" t="inlineStr">
        <is>
          <t>projected turn slack (min)=-42 (+3.69); aircraft's latest known departure delay=92 (+0.75); inbound leg departure delay (if departed by cutoff)=92 (+0.75)</t>
        </is>
      </c>
    </row>
    <row r="359">
      <c r="A359" t="inlineStr">
        <is>
          <t>95d282464700472dc2e5f33c40b297f1</t>
        </is>
      </c>
      <c r="B359" t="inlineStr">
        <is>
          <t>2024-04-11</t>
        </is>
      </c>
      <c r="C359" t="inlineStr">
        <is>
          <t>F9</t>
        </is>
      </c>
      <c r="D359" t="inlineStr">
        <is>
          <t>MIA</t>
        </is>
      </c>
      <c r="E359" t="inlineStr">
        <is>
          <t>ATL</t>
        </is>
      </c>
      <c r="F359" t="inlineStr">
        <is>
          <t>MIA-ATL</t>
        </is>
      </c>
      <c r="G359" t="n">
        <v>19</v>
      </c>
      <c r="H359" t="n">
        <v>1</v>
      </c>
      <c r="I359" t="n">
        <v>0.996</v>
      </c>
      <c r="J359" t="n">
        <v>1</v>
      </c>
      <c r="K359" t="n">
        <v>116</v>
      </c>
      <c r="L359" t="inlineStr">
        <is>
          <t>projected turn slack (min)=-66 (+2.26); inbound leg overdue, not yet departed (min)=116 (+0.82); aircraft's latest known departure delay=179 (+0.79)</t>
        </is>
      </c>
    </row>
    <row r="360">
      <c r="A360" t="inlineStr">
        <is>
          <t>a8f04b9b7bc17e8fc93d2be73b3be9a2</t>
        </is>
      </c>
      <c r="B360" t="inlineStr">
        <is>
          <t>2024-04-06</t>
        </is>
      </c>
      <c r="C360" t="inlineStr">
        <is>
          <t>AA</t>
        </is>
      </c>
      <c r="D360" t="inlineStr">
        <is>
          <t>FLL</t>
        </is>
      </c>
      <c r="E360" t="inlineStr">
        <is>
          <t>ORD</t>
        </is>
      </c>
      <c r="F360" t="inlineStr">
        <is>
          <t>FLL-ORD</t>
        </is>
      </c>
      <c r="G360" t="n">
        <v>16</v>
      </c>
      <c r="H360" t="n">
        <v>1</v>
      </c>
      <c r="I360" t="n">
        <v>0.996</v>
      </c>
      <c r="J360" t="n">
        <v>1</v>
      </c>
      <c r="K360" t="n">
        <v>88</v>
      </c>
      <c r="L360" t="inlineStr">
        <is>
          <t>projected turn slack (min)=-38 (+4.06); inbound leg departure delay (if departed by cutoff)=88 (+0.83); aircraft's latest known departure delay=88 (+0.81)</t>
        </is>
      </c>
    </row>
    <row r="361">
      <c r="A361" t="inlineStr">
        <is>
          <t>e42ea405087659d3fb64493eaeadd777</t>
        </is>
      </c>
      <c r="B361" t="inlineStr">
        <is>
          <t>2024-04-18</t>
        </is>
      </c>
      <c r="C361" t="inlineStr">
        <is>
          <t>AA</t>
        </is>
      </c>
      <c r="D361" t="inlineStr">
        <is>
          <t>RDU</t>
        </is>
      </c>
      <c r="E361" t="inlineStr">
        <is>
          <t>LAX</t>
        </is>
      </c>
      <c r="F361" t="inlineStr">
        <is>
          <t>RDU-LAX</t>
        </is>
      </c>
      <c r="G361" t="n">
        <v>18</v>
      </c>
      <c r="H361" t="n">
        <v>1</v>
      </c>
      <c r="I361" t="n">
        <v>0.996</v>
      </c>
      <c r="J361" t="n">
        <v>1</v>
      </c>
      <c r="K361" t="n">
        <v>222</v>
      </c>
      <c r="L361" t="inlineStr">
        <is>
          <t>projected turn slack (min)=-162 (+3.72); aircraft's latest known departure delay=222 (+0.99); inbound leg departure delay (if departed by cutoff)=222 (+0.70)</t>
        </is>
      </c>
    </row>
    <row r="362">
      <c r="A362" t="inlineStr">
        <is>
          <t>3c7c21c17a1e8bfe649b329042bf15ca</t>
        </is>
      </c>
      <c r="B362" t="inlineStr">
        <is>
          <t>2024-04-21</t>
        </is>
      </c>
      <c r="C362" t="inlineStr">
        <is>
          <t>B6</t>
        </is>
      </c>
      <c r="D362" t="inlineStr">
        <is>
          <t>MCO</t>
        </is>
      </c>
      <c r="E362" t="inlineStr">
        <is>
          <t>BOS</t>
        </is>
      </c>
      <c r="F362" t="inlineStr">
        <is>
          <t>MCO-BOS</t>
        </is>
      </c>
      <c r="G362" t="n">
        <v>14</v>
      </c>
      <c r="H362" t="n">
        <v>1</v>
      </c>
      <c r="I362" t="n">
        <v>0.99599</v>
      </c>
      <c r="J362" t="n">
        <v>1</v>
      </c>
      <c r="K362" t="n">
        <v>108</v>
      </c>
      <c r="L362" t="inlineStr">
        <is>
          <t>projected turn slack (min)=-46 (+4.04); inbound leg departure delay (if departed by cutoff)=108 (+0.82); aircraft's latest known departure delay=108 (+0.82)</t>
        </is>
      </c>
    </row>
    <row r="363">
      <c r="A363" t="inlineStr">
        <is>
          <t>48a5f2ceb60b15d1134a8519a8916b14</t>
        </is>
      </c>
      <c r="B363" t="inlineStr">
        <is>
          <t>2024-04-05</t>
        </is>
      </c>
      <c r="C363" t="inlineStr">
        <is>
          <t>DL</t>
        </is>
      </c>
      <c r="D363" t="inlineStr">
        <is>
          <t>FLL</t>
        </is>
      </c>
      <c r="E363" t="inlineStr">
        <is>
          <t>JFK</t>
        </is>
      </c>
      <c r="F363" t="inlineStr">
        <is>
          <t>FLL-JFK</t>
        </is>
      </c>
      <c r="G363" t="n">
        <v>11</v>
      </c>
      <c r="H363" t="n">
        <v>1</v>
      </c>
      <c r="I363" t="n">
        <v>0.99599</v>
      </c>
      <c r="J363" t="n">
        <v>1</v>
      </c>
      <c r="K363" t="n">
        <v>119</v>
      </c>
      <c r="L363" t="inlineStr">
        <is>
          <t>projected turn slack (min)=-50 (+4.08); aircraft's latest known departure delay=119 (+0.88); inbound leg departure delay (if departed by cutoff)=119 (+0.82)</t>
        </is>
      </c>
    </row>
    <row r="364">
      <c r="A364" t="inlineStr">
        <is>
          <t>8fe7e9d81f26f7d840e3a25e81f4fffc</t>
        </is>
      </c>
      <c r="B364" t="inlineStr">
        <is>
          <t>2024-04-11</t>
        </is>
      </c>
      <c r="C364" t="inlineStr">
        <is>
          <t>WN</t>
        </is>
      </c>
      <c r="D364" t="inlineStr">
        <is>
          <t>TPA</t>
        </is>
      </c>
      <c r="E364" t="inlineStr">
        <is>
          <t>FLL</t>
        </is>
      </c>
      <c r="F364" t="inlineStr">
        <is>
          <t>TPA-FLL</t>
        </is>
      </c>
      <c r="G364" t="n">
        <v>20</v>
      </c>
      <c r="H364" t="n">
        <v>1</v>
      </c>
      <c r="I364" t="n">
        <v>0.99599</v>
      </c>
      <c r="J364" t="n">
        <v>1</v>
      </c>
      <c r="K364" t="n">
        <v>65</v>
      </c>
      <c r="L364" t="inlineStr">
        <is>
          <t>projected turn slack (min)=-15 (+2.31); aircraft's latest known departure delay=130 (+0.75); inbound leg overdue, not yet departed (min)=65 (+0.71)</t>
        </is>
      </c>
    </row>
    <row r="365">
      <c r="A365" t="inlineStr">
        <is>
          <t>1738eea709ad2032d21bd355f6a7599f</t>
        </is>
      </c>
      <c r="B365" t="inlineStr">
        <is>
          <t>2024-04-11</t>
        </is>
      </c>
      <c r="C365" t="inlineStr">
        <is>
          <t>F9</t>
        </is>
      </c>
      <c r="D365" t="inlineStr">
        <is>
          <t>MDW</t>
        </is>
      </c>
      <c r="E365" t="inlineStr">
        <is>
          <t>MCO</t>
        </is>
      </c>
      <c r="F365" t="inlineStr">
        <is>
          <t>MDW-MCO</t>
        </is>
      </c>
      <c r="G365" t="n">
        <v>17</v>
      </c>
      <c r="H365" t="n">
        <v>1</v>
      </c>
      <c r="I365" t="n">
        <v>0.99598</v>
      </c>
      <c r="J365" t="n">
        <v>1</v>
      </c>
      <c r="K365" t="n">
        <v>107</v>
      </c>
      <c r="L365" t="inlineStr">
        <is>
          <t>projected turn slack (min)=-56 (+2.38); aircraft's latest known departure delay=155 (+1.00); inbound leg overdue, not yet departed (min)=107 (+0.78)</t>
        </is>
      </c>
    </row>
    <row r="366">
      <c r="A366" t="inlineStr">
        <is>
          <t>d3eb98e80abec1748d8242d716649629</t>
        </is>
      </c>
      <c r="B366" t="inlineStr">
        <is>
          <t>2024-04-03</t>
        </is>
      </c>
      <c r="C366" t="inlineStr">
        <is>
          <t>NK</t>
        </is>
      </c>
      <c r="D366" t="inlineStr">
        <is>
          <t>FLL</t>
        </is>
      </c>
      <c r="E366" t="inlineStr">
        <is>
          <t>SAT</t>
        </is>
      </c>
      <c r="F366" t="inlineStr">
        <is>
          <t>FLL-SAT</t>
        </is>
      </c>
      <c r="G366" t="n">
        <v>14</v>
      </c>
      <c r="H366" t="n">
        <v>1</v>
      </c>
      <c r="I366" t="n">
        <v>0.99598</v>
      </c>
      <c r="J366" t="n">
        <v>1</v>
      </c>
      <c r="K366" t="n">
        <v>107</v>
      </c>
      <c r="L366" t="inlineStr">
        <is>
          <t>projected turn slack (min)=-57 (+3.73); aircraft's latest known departure delay=107 (+0.92); inbound leg departure delay (if departed by cutoff)=107 (+0.77)</t>
        </is>
      </c>
    </row>
    <row r="367">
      <c r="A367" t="inlineStr">
        <is>
          <t>e619392e5edae24ac862773e4d5ac81a</t>
        </is>
      </c>
      <c r="B367" t="inlineStr">
        <is>
          <t>2024-04-26</t>
        </is>
      </c>
      <c r="C367" t="inlineStr">
        <is>
          <t>WN</t>
        </is>
      </c>
      <c r="D367" t="inlineStr">
        <is>
          <t>LAS</t>
        </is>
      </c>
      <c r="E367" t="inlineStr">
        <is>
          <t>TUS</t>
        </is>
      </c>
      <c r="F367" t="inlineStr">
        <is>
          <t>LAS-TUS</t>
        </is>
      </c>
      <c r="G367" t="n">
        <v>17</v>
      </c>
      <c r="H367" t="n">
        <v>1</v>
      </c>
      <c r="I367" t="n">
        <v>0.99597</v>
      </c>
      <c r="J367" t="n">
        <v>1</v>
      </c>
      <c r="K367" t="n">
        <v>82</v>
      </c>
      <c r="L367" t="inlineStr">
        <is>
          <t>projected turn slack (min)=-42 (+3.44); aircraft's latest known departure delay=82 (+0.84); inbound leg departure delay (if departed by cutoff)=82 (+0.76)</t>
        </is>
      </c>
    </row>
    <row r="368">
      <c r="A368" t="inlineStr">
        <is>
          <t>fcc8c57ef9605f934b32880a05ec4f31</t>
        </is>
      </c>
      <c r="B368" t="inlineStr">
        <is>
          <t>2024-04-04</t>
        </is>
      </c>
      <c r="C368" t="inlineStr">
        <is>
          <t>B6</t>
        </is>
      </c>
      <c r="D368" t="inlineStr">
        <is>
          <t>JFK</t>
        </is>
      </c>
      <c r="E368" t="inlineStr">
        <is>
          <t>MCO</t>
        </is>
      </c>
      <c r="F368" t="inlineStr">
        <is>
          <t>JFK-MCO</t>
        </is>
      </c>
      <c r="G368" t="n">
        <v>20</v>
      </c>
      <c r="H368" t="n">
        <v>1</v>
      </c>
      <c r="I368" t="n">
        <v>0.99597</v>
      </c>
      <c r="J368" t="n">
        <v>1</v>
      </c>
      <c r="K368" t="n">
        <v>145</v>
      </c>
      <c r="L368" t="inlineStr">
        <is>
          <t>projected turn slack (min)=-88 (+3.39); aircraft's latest known departure delay=145 (+0.92); inbound leg departure delay (if departed by cutoff)=145 (+0.67)</t>
        </is>
      </c>
    </row>
    <row r="369">
      <c r="A369" t="inlineStr">
        <is>
          <t>2748e704dfe4e907465df7c4394b43fa</t>
        </is>
      </c>
      <c r="B369" t="inlineStr">
        <is>
          <t>2024-04-03</t>
        </is>
      </c>
      <c r="C369" t="inlineStr">
        <is>
          <t>WN</t>
        </is>
      </c>
      <c r="D369" t="inlineStr">
        <is>
          <t>DEN</t>
        </is>
      </c>
      <c r="E369" t="inlineStr">
        <is>
          <t>MCO</t>
        </is>
      </c>
      <c r="F369" t="inlineStr">
        <is>
          <t>DEN-MCO</t>
        </is>
      </c>
      <c r="G369" t="n">
        <v>16</v>
      </c>
      <c r="H369" t="n">
        <v>1</v>
      </c>
      <c r="I369" t="n">
        <v>0.99596</v>
      </c>
      <c r="J369" t="n">
        <v>1</v>
      </c>
      <c r="K369" t="n">
        <v>69</v>
      </c>
      <c r="L369" t="inlineStr">
        <is>
          <t>projected turn slack (min)=-29 (+3.37); inbound leg departure delay (if departed by cutoff)=69 (+0.66); aircraft's latest known departure delay=69 (+0.58)</t>
        </is>
      </c>
    </row>
    <row r="370">
      <c r="A370" t="inlineStr">
        <is>
          <t>5d7d223c5fdf3e58bbd7a76e609f1881</t>
        </is>
      </c>
      <c r="B370" t="inlineStr">
        <is>
          <t>2024-04-03</t>
        </is>
      </c>
      <c r="C370" t="inlineStr">
        <is>
          <t>WN</t>
        </is>
      </c>
      <c r="D370" t="inlineStr">
        <is>
          <t>BNA</t>
        </is>
      </c>
      <c r="E370" t="inlineStr">
        <is>
          <t>RDU</t>
        </is>
      </c>
      <c r="F370" t="inlineStr">
        <is>
          <t>BNA-RDU</t>
        </is>
      </c>
      <c r="G370" t="n">
        <v>14</v>
      </c>
      <c r="H370" t="n">
        <v>1</v>
      </c>
      <c r="I370" t="n">
        <v>0.99596</v>
      </c>
      <c r="J370" t="n">
        <v>1</v>
      </c>
      <c r="K370" t="n">
        <v>60</v>
      </c>
      <c r="L370" t="inlineStr">
        <is>
          <t>projected turn slack (min)=-15 (+2.46); aircraft's latest known departure delay=143 (+1.08); inbound leg overdue, not yet departed (min)=60 (+0.72)</t>
        </is>
      </c>
    </row>
    <row r="371">
      <c r="A371" t="inlineStr">
        <is>
          <t>9ecb26cd45ce0760332ed48b0bfb163f</t>
        </is>
      </c>
      <c r="B371" t="inlineStr">
        <is>
          <t>2024-04-29</t>
        </is>
      </c>
      <c r="C371" t="inlineStr">
        <is>
          <t>B6</t>
        </is>
      </c>
      <c r="D371" t="inlineStr">
        <is>
          <t>SAT</t>
        </is>
      </c>
      <c r="E371" t="inlineStr">
        <is>
          <t>BOS</t>
        </is>
      </c>
      <c r="F371" t="inlineStr">
        <is>
          <t>SAT-BOS</t>
        </is>
      </c>
      <c r="G371" t="n">
        <v>16</v>
      </c>
      <c r="H371" t="n">
        <v>1</v>
      </c>
      <c r="I371" t="n">
        <v>0.99596</v>
      </c>
      <c r="J371" t="n">
        <v>1</v>
      </c>
      <c r="K371" t="n">
        <v>128</v>
      </c>
      <c r="L371" t="inlineStr">
        <is>
          <t>projected turn slack (min)=-73 (+4.15); aircraft's latest known departure delay=128 (+0.98); inbound leg departure delay (if departed by cutoff)=128 (+0.75)</t>
        </is>
      </c>
    </row>
    <row r="372">
      <c r="A372" t="inlineStr">
        <is>
          <t>ee8c060f8a64272624aa0d7a4725f97f</t>
        </is>
      </c>
      <c r="B372" t="inlineStr">
        <is>
          <t>2024-04-02</t>
        </is>
      </c>
      <c r="C372" t="inlineStr">
        <is>
          <t>UA</t>
        </is>
      </c>
      <c r="D372" t="inlineStr">
        <is>
          <t>DFW</t>
        </is>
      </c>
      <c r="E372" t="inlineStr">
        <is>
          <t>EWR</t>
        </is>
      </c>
      <c r="F372" t="inlineStr">
        <is>
          <t>DFW-EWR</t>
        </is>
      </c>
      <c r="G372" t="n">
        <v>16</v>
      </c>
      <c r="H372" t="n">
        <v>1</v>
      </c>
      <c r="I372" t="n">
        <v>0.99596</v>
      </c>
      <c r="J372" t="n">
        <v>1</v>
      </c>
      <c r="K372" t="n">
        <v>131</v>
      </c>
      <c r="L372" t="inlineStr">
        <is>
          <t>projected turn slack (min)=-75 (+3.93); aircraft's latest known departure delay=131 (+0.83); inbound leg departure delay (if departed by cutoff)=131 (+0.65)</t>
        </is>
      </c>
    </row>
    <row r="373">
      <c r="A373" t="inlineStr">
        <is>
          <t>fa0c34948de040f9b22a083ad0297f79</t>
        </is>
      </c>
      <c r="B373" t="inlineStr">
        <is>
          <t>2024-04-12</t>
        </is>
      </c>
      <c r="C373" t="inlineStr">
        <is>
          <t>B6</t>
        </is>
      </c>
      <c r="D373" t="inlineStr">
        <is>
          <t>FLL</t>
        </is>
      </c>
      <c r="E373" t="inlineStr">
        <is>
          <t>JFK</t>
        </is>
      </c>
      <c r="F373" t="inlineStr">
        <is>
          <t>FLL-JFK</t>
        </is>
      </c>
      <c r="G373" t="n">
        <v>19</v>
      </c>
      <c r="H373" t="n">
        <v>1</v>
      </c>
      <c r="I373" t="n">
        <v>0.99596</v>
      </c>
      <c r="J373" t="n">
        <v>1</v>
      </c>
      <c r="K373" t="n">
        <v>130</v>
      </c>
      <c r="L373" t="inlineStr">
        <is>
          <t>projected turn slack (min)=-66 (+3.78); aircraft's latest known departure delay=130 (+0.96); inbound leg departure delay (if departed by cutoff)=130 (+0.67)</t>
        </is>
      </c>
    </row>
    <row r="374">
      <c r="A374" t="inlineStr">
        <is>
          <t>19ea5955d49be7d77e5e8c20576767c1</t>
        </is>
      </c>
      <c r="B374" t="inlineStr">
        <is>
          <t>2024-04-03</t>
        </is>
      </c>
      <c r="C374" t="inlineStr">
        <is>
          <t>WN</t>
        </is>
      </c>
      <c r="D374" t="inlineStr">
        <is>
          <t>TPA</t>
        </is>
      </c>
      <c r="E374" t="inlineStr">
        <is>
          <t>AUS</t>
        </is>
      </c>
      <c r="F374" t="inlineStr">
        <is>
          <t>TPA-AUS</t>
        </is>
      </c>
      <c r="G374" t="n">
        <v>18</v>
      </c>
      <c r="H374" t="n">
        <v>1</v>
      </c>
      <c r="I374" t="n">
        <v>0.99595</v>
      </c>
      <c r="J374" t="n">
        <v>1</v>
      </c>
      <c r="K374" t="n">
        <v>105</v>
      </c>
      <c r="L374" t="inlineStr">
        <is>
          <t>projected turn slack (min)=-65 (+2.19); aircraft's latest known departure delay=182 (+0.87); inbound leg overdue, not yet departed (min)=105 (+0.66)</t>
        </is>
      </c>
    </row>
    <row r="375">
      <c r="A375" t="inlineStr">
        <is>
          <t>1f7400d39dadd5fcc7a5c98f1f1e58d8</t>
        </is>
      </c>
      <c r="B375" t="inlineStr">
        <is>
          <t>2024-04-24</t>
        </is>
      </c>
      <c r="C375" t="inlineStr">
        <is>
          <t>AS</t>
        </is>
      </c>
      <c r="D375" t="inlineStr">
        <is>
          <t>IAD</t>
        </is>
      </c>
      <c r="E375" t="inlineStr">
        <is>
          <t>SAN</t>
        </is>
      </c>
      <c r="F375" t="inlineStr">
        <is>
          <t>IAD-SAN</t>
        </is>
      </c>
      <c r="G375" t="n">
        <v>16</v>
      </c>
      <c r="H375" t="n">
        <v>1</v>
      </c>
      <c r="I375" t="n">
        <v>0.99595</v>
      </c>
      <c r="J375" t="n">
        <v>1</v>
      </c>
      <c r="K375" t="n">
        <v>111</v>
      </c>
      <c r="L375" t="inlineStr">
        <is>
          <t>projected turn slack (min)=-51 (+4.26); aircraft's latest known departure delay=111 (+0.93); inbound leg departure delay (if departed by cutoff)=111 (+0.77)</t>
        </is>
      </c>
    </row>
    <row r="376">
      <c r="A376" t="inlineStr">
        <is>
          <t>307b81b67fd8daff8c817363b49872f1</t>
        </is>
      </c>
      <c r="B376" t="inlineStr">
        <is>
          <t>2024-04-14</t>
        </is>
      </c>
      <c r="C376" t="inlineStr">
        <is>
          <t>B6</t>
        </is>
      </c>
      <c r="D376" t="inlineStr">
        <is>
          <t>SJC</t>
        </is>
      </c>
      <c r="E376" t="inlineStr">
        <is>
          <t>JFK</t>
        </is>
      </c>
      <c r="F376" t="inlineStr">
        <is>
          <t>SJC-JFK</t>
        </is>
      </c>
      <c r="G376" t="n">
        <v>21</v>
      </c>
      <c r="H376" t="n">
        <v>1</v>
      </c>
      <c r="I376" t="n">
        <v>0.99595</v>
      </c>
      <c r="J376" t="n">
        <v>1</v>
      </c>
      <c r="K376" t="n">
        <v>169</v>
      </c>
      <c r="L376" t="inlineStr">
        <is>
          <t>projected turn slack (min)=-114 (+3.76); aircraft's latest known departure delay=169 (+1.08); inbound leg departure delay (if departed by cutoff)=169 (+0.72)</t>
        </is>
      </c>
    </row>
    <row r="377">
      <c r="A377" t="inlineStr">
        <is>
          <t>7e29f071fad40c0bc6ffa7f3ddc315d8</t>
        </is>
      </c>
      <c r="B377" t="inlineStr">
        <is>
          <t>2024-04-18</t>
        </is>
      </c>
      <c r="C377" t="inlineStr">
        <is>
          <t>B6</t>
        </is>
      </c>
      <c r="D377" t="inlineStr">
        <is>
          <t>RDU</t>
        </is>
      </c>
      <c r="E377" t="inlineStr">
        <is>
          <t>SJU</t>
        </is>
      </c>
      <c r="F377" t="inlineStr">
        <is>
          <t>RDU-SJU</t>
        </is>
      </c>
      <c r="G377" t="n">
        <v>14</v>
      </c>
      <c r="H377" t="n">
        <v>1</v>
      </c>
      <c r="I377" t="n">
        <v>0.99595</v>
      </c>
      <c r="J377" t="n">
        <v>1</v>
      </c>
      <c r="K377" t="n">
        <v>100</v>
      </c>
      <c r="L377" t="inlineStr">
        <is>
          <t>projected turn slack (min)=-55 (+4.02); aircraft's latest known departure delay=100 (+0.83); inbound leg departure delay (if departed by cutoff)=100 (+0.76)</t>
        </is>
      </c>
    </row>
    <row r="378">
      <c r="A378" t="inlineStr">
        <is>
          <t>905aab84d19764ff56447bdceb83d783</t>
        </is>
      </c>
      <c r="B378" t="inlineStr">
        <is>
          <t>2024-04-21</t>
        </is>
      </c>
      <c r="C378" t="inlineStr">
        <is>
          <t>AA</t>
        </is>
      </c>
      <c r="D378" t="inlineStr">
        <is>
          <t>PHX</t>
        </is>
      </c>
      <c r="E378" t="inlineStr">
        <is>
          <t>DFW</t>
        </is>
      </c>
      <c r="F378" t="inlineStr">
        <is>
          <t>PHX-DFW</t>
        </is>
      </c>
      <c r="G378" t="n">
        <v>14</v>
      </c>
      <c r="H378" t="n">
        <v>1</v>
      </c>
      <c r="I378" t="n">
        <v>0.99595</v>
      </c>
      <c r="J378" t="n">
        <v>1</v>
      </c>
      <c r="K378" t="n">
        <v>83</v>
      </c>
      <c r="L378" t="inlineStr">
        <is>
          <t>projected turn slack (min)=-28 (+3.88); inbound leg departure delay (if departed by cutoff)=83 (+0.82); aircraft's latest known departure delay=83 (+0.74)</t>
        </is>
      </c>
    </row>
    <row r="379">
      <c r="A379" t="inlineStr">
        <is>
          <t>48af84091fe8e1923b15298e851fb63b</t>
        </is>
      </c>
      <c r="B379" t="inlineStr">
        <is>
          <t>2024-04-22</t>
        </is>
      </c>
      <c r="C379" t="inlineStr">
        <is>
          <t>AA</t>
        </is>
      </c>
      <c r="D379" t="inlineStr">
        <is>
          <t>SBA</t>
        </is>
      </c>
      <c r="E379" t="inlineStr">
        <is>
          <t>DFW</t>
        </is>
      </c>
      <c r="F379" t="inlineStr">
        <is>
          <t>SBA-DFW</t>
        </is>
      </c>
      <c r="G379" t="n">
        <v>12</v>
      </c>
      <c r="H379" t="n">
        <v>1</v>
      </c>
      <c r="I379" t="n">
        <v>0.99594</v>
      </c>
      <c r="J379" t="n">
        <v>1</v>
      </c>
      <c r="K379" t="n">
        <v>94</v>
      </c>
      <c r="L379" t="inlineStr">
        <is>
          <t>projected turn slack (min)=-54 (+3.86); aircraft's latest known departure delay=94 (+1.03); inbound leg departure delay (if departed by cutoff)=94 (+0.79)</t>
        </is>
      </c>
    </row>
    <row r="380">
      <c r="A380" t="inlineStr">
        <is>
          <t>13d3e8aea98030aa22c7bfdea6c911db</t>
        </is>
      </c>
      <c r="B380" t="inlineStr">
        <is>
          <t>2024-04-04</t>
        </is>
      </c>
      <c r="C380" t="inlineStr">
        <is>
          <t>DL</t>
        </is>
      </c>
      <c r="D380" t="inlineStr">
        <is>
          <t>BOS</t>
        </is>
      </c>
      <c r="E380" t="inlineStr">
        <is>
          <t>TPA</t>
        </is>
      </c>
      <c r="F380" t="inlineStr">
        <is>
          <t>BOS-TPA</t>
        </is>
      </c>
      <c r="G380" t="n">
        <v>20</v>
      </c>
      <c r="H380" t="n">
        <v>1</v>
      </c>
      <c r="I380" t="n">
        <v>0.99593</v>
      </c>
      <c r="J380" t="n">
        <v>1</v>
      </c>
      <c r="K380" t="n">
        <v>100</v>
      </c>
      <c r="L380" t="inlineStr">
        <is>
          <t>projected turn slack (min)=-35 (+3.64); aircraft's latest known departure delay=100 (+0.70); inbound leg departure delay (if departed by cutoff)=100 (+0.68)</t>
        </is>
      </c>
    </row>
    <row r="381">
      <c r="A381" t="inlineStr">
        <is>
          <t>862489dbd11fc65b598c7bf5dc287640</t>
        </is>
      </c>
      <c r="B381" t="inlineStr">
        <is>
          <t>2024-04-14</t>
        </is>
      </c>
      <c r="C381" t="inlineStr">
        <is>
          <t>DL</t>
        </is>
      </c>
      <c r="D381" t="inlineStr">
        <is>
          <t>LAS</t>
        </is>
      </c>
      <c r="E381" t="inlineStr">
        <is>
          <t>JFK</t>
        </is>
      </c>
      <c r="F381" t="inlineStr">
        <is>
          <t>LAS-JFK</t>
        </is>
      </c>
      <c r="G381" t="n">
        <v>15</v>
      </c>
      <c r="H381" t="n">
        <v>1</v>
      </c>
      <c r="I381" t="n">
        <v>0.99593</v>
      </c>
      <c r="J381" t="n">
        <v>1</v>
      </c>
      <c r="K381" t="n">
        <v>115</v>
      </c>
      <c r="L381" t="inlineStr">
        <is>
          <t>projected turn slack (min)=-45 (+4.09); aircraft's latest known departure delay=115 (+0.85); inbound leg departure delay (if departed by cutoff)=115 (+0.79)</t>
        </is>
      </c>
    </row>
    <row r="382">
      <c r="A382" t="inlineStr">
        <is>
          <t>9d7ab3c9d5f25968530f99ea4467b9a4</t>
        </is>
      </c>
      <c r="B382" t="inlineStr">
        <is>
          <t>2024-04-04</t>
        </is>
      </c>
      <c r="C382" t="inlineStr">
        <is>
          <t>B6</t>
        </is>
      </c>
      <c r="D382" t="inlineStr">
        <is>
          <t>MCO</t>
        </is>
      </c>
      <c r="E382" t="inlineStr">
        <is>
          <t>HPN</t>
        </is>
      </c>
      <c r="F382" t="inlineStr">
        <is>
          <t>MCO-HPN</t>
        </is>
      </c>
      <c r="G382" t="n">
        <v>17</v>
      </c>
      <c r="H382" t="n">
        <v>1</v>
      </c>
      <c r="I382" t="n">
        <v>0.99593</v>
      </c>
      <c r="J382" t="n">
        <v>1</v>
      </c>
      <c r="K382" t="n">
        <v>106</v>
      </c>
      <c r="L382" t="inlineStr">
        <is>
          <t>projected turn slack (min)=-47 (+3.95); aircraft's latest known departure delay=106 (+0.90); inbound leg departure delay (if departed by cutoff)=106 (+0.80)</t>
        </is>
      </c>
    </row>
    <row r="383">
      <c r="A383" t="inlineStr">
        <is>
          <t>b91c9a466c7627f3e22d2bcaf42456fb</t>
        </is>
      </c>
      <c r="B383" t="inlineStr">
        <is>
          <t>2024-04-11</t>
        </is>
      </c>
      <c r="C383" t="inlineStr">
        <is>
          <t>WN</t>
        </is>
      </c>
      <c r="D383" t="inlineStr">
        <is>
          <t>PHL</t>
        </is>
      </c>
      <c r="E383" t="inlineStr">
        <is>
          <t>STL</t>
        </is>
      </c>
      <c r="F383" t="inlineStr">
        <is>
          <t>PHL-STL</t>
        </is>
      </c>
      <c r="G383" t="n">
        <v>19</v>
      </c>
      <c r="H383" t="n">
        <v>1</v>
      </c>
      <c r="I383" t="n">
        <v>0.99593</v>
      </c>
      <c r="J383" t="n">
        <v>1</v>
      </c>
      <c r="K383" t="n">
        <v>75</v>
      </c>
      <c r="L383" t="inlineStr">
        <is>
          <t>projected turn slack (min)=-35 (+2.75); aircraft's latest known departure delay=107 (+1.22); inbound leg overdue, not yet departed (min)=75 (+0.82)</t>
        </is>
      </c>
    </row>
    <row r="384">
      <c r="A384" t="inlineStr">
        <is>
          <t>8916c3fc9d804e92c69c64a777f562ac</t>
        </is>
      </c>
      <c r="B384" t="inlineStr">
        <is>
          <t>2024-04-25</t>
        </is>
      </c>
      <c r="C384" t="inlineStr">
        <is>
          <t>B6</t>
        </is>
      </c>
      <c r="D384" t="inlineStr">
        <is>
          <t>HPN</t>
        </is>
      </c>
      <c r="E384" t="inlineStr">
        <is>
          <t>PBI</t>
        </is>
      </c>
      <c r="F384" t="inlineStr">
        <is>
          <t>HPN-PBI</t>
        </is>
      </c>
      <c r="G384" t="n">
        <v>15</v>
      </c>
      <c r="H384" t="n">
        <v>1</v>
      </c>
      <c r="I384" t="n">
        <v>0.99592</v>
      </c>
      <c r="J384" t="n">
        <v>1</v>
      </c>
      <c r="K384" t="n">
        <v>78</v>
      </c>
      <c r="L384" t="inlineStr">
        <is>
          <t>projected turn slack (min)=-33 (+4.09); aircraft's latest known departure delay=78 (+0.84); inbound leg departure delay (if departed by cutoff)=78 (+0.83)</t>
        </is>
      </c>
    </row>
    <row r="385">
      <c r="A385" t="inlineStr">
        <is>
          <t>4f8d3a8a3f3ad3f0e73657896ff44024</t>
        </is>
      </c>
      <c r="B385" t="inlineStr">
        <is>
          <t>2024-04-12</t>
        </is>
      </c>
      <c r="C385" t="inlineStr">
        <is>
          <t>B6</t>
        </is>
      </c>
      <c r="D385" t="inlineStr">
        <is>
          <t>SFO</t>
        </is>
      </c>
      <c r="E385" t="inlineStr">
        <is>
          <t>JFK</t>
        </is>
      </c>
      <c r="F385" t="inlineStr">
        <is>
          <t>SFO-JFK</t>
        </is>
      </c>
      <c r="G385" t="n">
        <v>12</v>
      </c>
      <c r="H385" t="n">
        <v>1</v>
      </c>
      <c r="I385" t="n">
        <v>0.99591</v>
      </c>
      <c r="J385" t="n">
        <v>1</v>
      </c>
      <c r="K385" t="n">
        <v>133</v>
      </c>
      <c r="L385" t="inlineStr">
        <is>
          <t>projected turn slack (min)=-61 (+4.06); aircraft's latest known departure delay=133 (+0.82); inbound leg departure delay (if departed by cutoff)=133 (+0.74)</t>
        </is>
      </c>
    </row>
    <row r="386">
      <c r="A386" t="inlineStr">
        <is>
          <t>7a1205d7d4edc268f981a58651f5caa7</t>
        </is>
      </c>
      <c r="B386" t="inlineStr">
        <is>
          <t>2024-04-05</t>
        </is>
      </c>
      <c r="C386" t="inlineStr">
        <is>
          <t>B6</t>
        </is>
      </c>
      <c r="D386" t="inlineStr">
        <is>
          <t>BDL</t>
        </is>
      </c>
      <c r="E386" t="inlineStr">
        <is>
          <t>RSW</t>
        </is>
      </c>
      <c r="F386" t="inlineStr">
        <is>
          <t>BDL-RSW</t>
        </is>
      </c>
      <c r="G386" t="n">
        <v>16</v>
      </c>
      <c r="H386" t="n">
        <v>1</v>
      </c>
      <c r="I386" t="n">
        <v>0.9959</v>
      </c>
      <c r="J386" t="n">
        <v>1</v>
      </c>
      <c r="K386" t="n">
        <v>77</v>
      </c>
      <c r="L386" t="inlineStr">
        <is>
          <t>projected turn slack (min)=-32 (+4.13); inbound leg departure delay (if departed by cutoff)=77 (+0.85); aircraft's latest known departure delay=77 (+0.82)</t>
        </is>
      </c>
    </row>
    <row r="387">
      <c r="A387" t="inlineStr">
        <is>
          <t>a3bc665aaa63705295b0403c76e440bd</t>
        </is>
      </c>
      <c r="B387" t="inlineStr">
        <is>
          <t>2024-04-20</t>
        </is>
      </c>
      <c r="C387" t="inlineStr">
        <is>
          <t>B6</t>
        </is>
      </c>
      <c r="D387" t="inlineStr">
        <is>
          <t>BDL</t>
        </is>
      </c>
      <c r="E387" t="inlineStr">
        <is>
          <t>SJU</t>
        </is>
      </c>
      <c r="F387" t="inlineStr">
        <is>
          <t>BDL-SJU</t>
        </is>
      </c>
      <c r="G387" t="n">
        <v>15</v>
      </c>
      <c r="H387" t="n">
        <v>1</v>
      </c>
      <c r="I387" t="n">
        <v>0.9959</v>
      </c>
      <c r="J387" t="n">
        <v>1</v>
      </c>
      <c r="K387" t="n">
        <v>94</v>
      </c>
      <c r="L387" t="inlineStr">
        <is>
          <t>projected turn slack (min)=-49 (+4.02); aircraft's latest known departure delay=94 (+0.91); inbound leg departure delay (if departed by cutoff)=94 (+0.71)</t>
        </is>
      </c>
    </row>
    <row r="388">
      <c r="A388" t="inlineStr">
        <is>
          <t>d7ea536ac9d04f34a0273584a17599a9</t>
        </is>
      </c>
      <c r="B388" t="inlineStr">
        <is>
          <t>2024-04-27</t>
        </is>
      </c>
      <c r="C388" t="inlineStr">
        <is>
          <t>B6</t>
        </is>
      </c>
      <c r="D388" t="inlineStr">
        <is>
          <t>RSW</t>
        </is>
      </c>
      <c r="E388" t="inlineStr">
        <is>
          <t>EWR</t>
        </is>
      </c>
      <c r="F388" t="inlineStr">
        <is>
          <t>RSW-EWR</t>
        </is>
      </c>
      <c r="G388" t="n">
        <v>13</v>
      </c>
      <c r="H388" t="n">
        <v>1</v>
      </c>
      <c r="I388" t="n">
        <v>0.9959</v>
      </c>
      <c r="J388" t="n">
        <v>1</v>
      </c>
      <c r="K388" t="n">
        <v>77</v>
      </c>
      <c r="L388" t="inlineStr">
        <is>
          <t>projected turn slack (min)=-32 (+3.98); inbound leg departure delay (if departed by cutoff)=77 (+0.82); aircraft's latest known departure delay=77 (+0.74)</t>
        </is>
      </c>
    </row>
    <row r="389">
      <c r="A389" t="inlineStr">
        <is>
          <t>9149d064c2a3abac4f1d439ee1c51604</t>
        </is>
      </c>
      <c r="B389" t="inlineStr">
        <is>
          <t>2024-04-03</t>
        </is>
      </c>
      <c r="C389" t="inlineStr">
        <is>
          <t>WN</t>
        </is>
      </c>
      <c r="D389" t="inlineStr">
        <is>
          <t>DEN</t>
        </is>
      </c>
      <c r="E389" t="inlineStr">
        <is>
          <t>MCI</t>
        </is>
      </c>
      <c r="F389" t="inlineStr">
        <is>
          <t>DEN-MCI</t>
        </is>
      </c>
      <c r="G389" t="n">
        <v>21</v>
      </c>
      <c r="H389" t="n">
        <v>1</v>
      </c>
      <c r="I389" t="n">
        <v>0.9958900000000001</v>
      </c>
      <c r="J389" t="n">
        <v>1</v>
      </c>
      <c r="K389" t="n">
        <v>105</v>
      </c>
      <c r="L389" t="inlineStr">
        <is>
          <t>projected turn slack (min)=-50 (+3.75); aircraft's latest known departure delay=105 (+0.91); inbound leg departure delay (if departed by cutoff)=105 (+0.84)</t>
        </is>
      </c>
    </row>
    <row r="390">
      <c r="A390" t="inlineStr">
        <is>
          <t>f0f105686117052903c77ac2f2bc127a</t>
        </is>
      </c>
      <c r="B390" t="inlineStr">
        <is>
          <t>2024-04-03</t>
        </is>
      </c>
      <c r="C390" t="inlineStr">
        <is>
          <t>WN</t>
        </is>
      </c>
      <c r="D390" t="inlineStr">
        <is>
          <t>ATL</t>
        </is>
      </c>
      <c r="E390" t="inlineStr">
        <is>
          <t>MIA</t>
        </is>
      </c>
      <c r="F390" t="inlineStr">
        <is>
          <t>ATL-MIA</t>
        </is>
      </c>
      <c r="G390" t="n">
        <v>21</v>
      </c>
      <c r="H390" t="n">
        <v>1</v>
      </c>
      <c r="I390" t="n">
        <v>0.9958900000000001</v>
      </c>
      <c r="J390" t="n">
        <v>1</v>
      </c>
      <c r="K390" t="n">
        <v>71</v>
      </c>
      <c r="L390" t="inlineStr">
        <is>
          <t>projected turn slack (min)=-26 (+2.96); aircraft's latest known departure delay=71 (+0.66); inbound leg departure delay (if departed by cutoff)=71 (+0.57)</t>
        </is>
      </c>
    </row>
    <row r="391">
      <c r="A391" t="inlineStr">
        <is>
          <t>fc68ff312a3c510045c24c52aeda3234</t>
        </is>
      </c>
      <c r="B391" t="inlineStr">
        <is>
          <t>2024-04-11</t>
        </is>
      </c>
      <c r="C391" t="inlineStr">
        <is>
          <t>G4</t>
        </is>
      </c>
      <c r="D391" t="inlineStr">
        <is>
          <t>RIC</t>
        </is>
      </c>
      <c r="E391" t="inlineStr">
        <is>
          <t>SFB</t>
        </is>
      </c>
      <c r="F391" t="inlineStr">
        <is>
          <t>RIC-SFB</t>
        </is>
      </c>
      <c r="G391" t="n">
        <v>20</v>
      </c>
      <c r="H391" t="n">
        <v>1</v>
      </c>
      <c r="I391" t="n">
        <v>0.9958900000000001</v>
      </c>
      <c r="J391" t="n">
        <v>1</v>
      </c>
      <c r="K391" t="n">
        <v>42</v>
      </c>
      <c r="L391" t="inlineStr">
        <is>
          <t>projected turn slack (min)=8 (+1.74); aircraft's latest known departure delay=252 (+1.05); inbound leg overdue, not yet departed (min)=42 (+0.70)</t>
        </is>
      </c>
    </row>
    <row r="392">
      <c r="A392" t="inlineStr">
        <is>
          <t>1e4c3447985665acde65533941b65087</t>
        </is>
      </c>
      <c r="B392" t="inlineStr">
        <is>
          <t>2024-04-11</t>
        </is>
      </c>
      <c r="C392" t="inlineStr">
        <is>
          <t>UA</t>
        </is>
      </c>
      <c r="D392" t="inlineStr">
        <is>
          <t>CLE</t>
        </is>
      </c>
      <c r="E392" t="inlineStr">
        <is>
          <t>TPA</t>
        </is>
      </c>
      <c r="F392" t="inlineStr">
        <is>
          <t>CLE-TPA</t>
        </is>
      </c>
      <c r="G392" t="n">
        <v>17</v>
      </c>
      <c r="H392" t="n">
        <v>1</v>
      </c>
      <c r="I392" t="n">
        <v>0.99588</v>
      </c>
      <c r="J392" t="n">
        <v>1</v>
      </c>
      <c r="K392" t="n">
        <v>90</v>
      </c>
      <c r="L392" t="inlineStr">
        <is>
          <t>projected turn slack (min)=-28 (+2.57); aircraft's latest known departure delay=228 (+0.83); inbound leg overdue, not yet departed (min)=90 (+0.75)</t>
        </is>
      </c>
    </row>
    <row r="393">
      <c r="A393" t="inlineStr">
        <is>
          <t>f5fac6c21893721364bbe64943b5c7f1</t>
        </is>
      </c>
      <c r="B393" t="inlineStr">
        <is>
          <t>2024-04-26</t>
        </is>
      </c>
      <c r="C393" t="inlineStr">
        <is>
          <t>B6</t>
        </is>
      </c>
      <c r="D393" t="inlineStr">
        <is>
          <t>RSW</t>
        </is>
      </c>
      <c r="E393" t="inlineStr">
        <is>
          <t>BDL</t>
        </is>
      </c>
      <c r="F393" t="inlineStr">
        <is>
          <t>RSW-BDL</t>
        </is>
      </c>
      <c r="G393" t="n">
        <v>20</v>
      </c>
      <c r="H393" t="n">
        <v>1</v>
      </c>
      <c r="I393" t="n">
        <v>0.99588</v>
      </c>
      <c r="J393" t="n">
        <v>1</v>
      </c>
      <c r="K393" t="n">
        <v>103</v>
      </c>
      <c r="L393" t="inlineStr">
        <is>
          <t>projected turn slack (min)=-56 (+3.93); aircraft's latest known departure delay=103 (+1.02); inbound leg departure delay (if departed by cutoff)=103 (+0.81)</t>
        </is>
      </c>
    </row>
    <row r="394">
      <c r="A394" t="inlineStr">
        <is>
          <t>fb6e4015102a0cb4188f5a984003be97</t>
        </is>
      </c>
      <c r="B394" t="inlineStr">
        <is>
          <t>2024-04-28</t>
        </is>
      </c>
      <c r="C394" t="inlineStr">
        <is>
          <t>WN</t>
        </is>
      </c>
      <c r="D394" t="inlineStr">
        <is>
          <t>OAK</t>
        </is>
      </c>
      <c r="E394" t="inlineStr">
        <is>
          <t>GEG</t>
        </is>
      </c>
      <c r="F394" t="inlineStr">
        <is>
          <t>OAK-GEG</t>
        </is>
      </c>
      <c r="G394" t="n">
        <v>20</v>
      </c>
      <c r="H394" t="n">
        <v>1</v>
      </c>
      <c r="I394" t="n">
        <v>0.99588</v>
      </c>
      <c r="J394" t="n">
        <v>1</v>
      </c>
      <c r="K394" t="n">
        <v>105</v>
      </c>
      <c r="L394" t="inlineStr">
        <is>
          <t>projected turn slack (min)=-50 (+4.00); aircraft's latest known departure delay=105 (+1.08); inbound leg departure delay (if departed by cutoff)=105 (+0.82)</t>
        </is>
      </c>
    </row>
    <row r="395">
      <c r="A395" t="inlineStr">
        <is>
          <t>6133c0f19d796e188bfbf7b5aa6a62bf</t>
        </is>
      </c>
      <c r="B395" t="inlineStr">
        <is>
          <t>2024-04-19</t>
        </is>
      </c>
      <c r="C395" t="inlineStr">
        <is>
          <t>AA</t>
        </is>
      </c>
      <c r="D395" t="inlineStr">
        <is>
          <t>RDU</t>
        </is>
      </c>
      <c r="E395" t="inlineStr">
        <is>
          <t>LAX</t>
        </is>
      </c>
      <c r="F395" t="inlineStr">
        <is>
          <t>RDU-LAX</t>
        </is>
      </c>
      <c r="G395" t="n">
        <v>18</v>
      </c>
      <c r="H395" t="n">
        <v>1</v>
      </c>
      <c r="I395" t="n">
        <v>0.99587</v>
      </c>
      <c r="J395" t="n">
        <v>1</v>
      </c>
      <c r="K395" t="n">
        <v>115</v>
      </c>
      <c r="L395" t="inlineStr">
        <is>
          <t>projected turn slack (min)=-55 (+4.09); aircraft's latest known departure delay=115 (+0.95); inbound leg departure delay (if departed by cutoff)=115 (+0.79)</t>
        </is>
      </c>
    </row>
    <row r="396">
      <c r="A396" t="inlineStr">
        <is>
          <t>d9870e01a6dafd9f4b53846d8d2346c2</t>
        </is>
      </c>
      <c r="B396" t="inlineStr">
        <is>
          <t>2024-04-04</t>
        </is>
      </c>
      <c r="C396" t="inlineStr">
        <is>
          <t>NK</t>
        </is>
      </c>
      <c r="D396" t="inlineStr">
        <is>
          <t>ATL</t>
        </is>
      </c>
      <c r="E396" t="inlineStr">
        <is>
          <t>LAX</t>
        </is>
      </c>
      <c r="F396" t="inlineStr">
        <is>
          <t>ATL-LAX</t>
        </is>
      </c>
      <c r="G396" t="n">
        <v>21</v>
      </c>
      <c r="H396" t="n">
        <v>1</v>
      </c>
      <c r="I396" t="n">
        <v>0.99587</v>
      </c>
      <c r="J396" t="n">
        <v>1</v>
      </c>
      <c r="K396" t="n">
        <v>107</v>
      </c>
      <c r="L396" t="inlineStr">
        <is>
          <t>projected turn slack (min)=-50 (+3.82); inbound leg departure delay (if departed by cutoff)=107 (+0.81); aircraft's latest known departure delay=107 (+0.81)</t>
        </is>
      </c>
    </row>
    <row r="397">
      <c r="A397" t="inlineStr">
        <is>
          <t>292da700a58f1fcc5d6113e51fdf1f0e</t>
        </is>
      </c>
      <c r="B397" t="inlineStr">
        <is>
          <t>2024-04-18</t>
        </is>
      </c>
      <c r="C397" t="inlineStr">
        <is>
          <t>AA</t>
        </is>
      </c>
      <c r="D397" t="inlineStr">
        <is>
          <t>LAS</t>
        </is>
      </c>
      <c r="E397" t="inlineStr">
        <is>
          <t>CLT</t>
        </is>
      </c>
      <c r="F397" t="inlineStr">
        <is>
          <t>LAS-CLT</t>
        </is>
      </c>
      <c r="G397" t="n">
        <v>14</v>
      </c>
      <c r="H397" t="n">
        <v>1</v>
      </c>
      <c r="I397" t="n">
        <v>0.99586</v>
      </c>
      <c r="J397" t="n">
        <v>1</v>
      </c>
      <c r="K397" t="n">
        <v>83</v>
      </c>
      <c r="L397" t="inlineStr">
        <is>
          <t>projected turn slack (min)=-33 (+3.98); inbound leg departure delay (if departed by cutoff)=83 (+0.83); aircraft's latest known departure delay=83 (+0.81)</t>
        </is>
      </c>
    </row>
    <row r="398">
      <c r="A398" t="inlineStr">
        <is>
          <t>911f0d827e34bd052b988fc309fcb9a9</t>
        </is>
      </c>
      <c r="B398" t="inlineStr">
        <is>
          <t>2024-04-03</t>
        </is>
      </c>
      <c r="C398" t="inlineStr">
        <is>
          <t>B6</t>
        </is>
      </c>
      <c r="D398" t="inlineStr">
        <is>
          <t>FLL</t>
        </is>
      </c>
      <c r="E398" t="inlineStr">
        <is>
          <t>LAX</t>
        </is>
      </c>
      <c r="F398" t="inlineStr">
        <is>
          <t>FLL-LAX</t>
        </is>
      </c>
      <c r="G398" t="n">
        <v>21</v>
      </c>
      <c r="H398" t="n">
        <v>1</v>
      </c>
      <c r="I398" t="n">
        <v>0.99586</v>
      </c>
      <c r="J398" t="n">
        <v>1</v>
      </c>
      <c r="K398" t="n">
        <v>134</v>
      </c>
      <c r="L398" t="inlineStr">
        <is>
          <t>projected turn slack (min)=-44 (+3.80); inbound leg departure delay (if departed by cutoff)=134 (+0.71); aircraft's latest known departure delay=134 (+0.68)</t>
        </is>
      </c>
    </row>
    <row r="399">
      <c r="A399" t="inlineStr">
        <is>
          <t>15963e40b7c5ee4f31a1e94f52f85502</t>
        </is>
      </c>
      <c r="B399" t="inlineStr">
        <is>
          <t>2024-04-10</t>
        </is>
      </c>
      <c r="C399" t="inlineStr">
        <is>
          <t>AA</t>
        </is>
      </c>
      <c r="D399" t="inlineStr">
        <is>
          <t>DFW</t>
        </is>
      </c>
      <c r="E399" t="inlineStr">
        <is>
          <t>JAX</t>
        </is>
      </c>
      <c r="F399" t="inlineStr">
        <is>
          <t>DFW-JAX</t>
        </is>
      </c>
      <c r="G399" t="n">
        <v>15</v>
      </c>
      <c r="H399" t="n">
        <v>1</v>
      </c>
      <c r="I399" t="n">
        <v>0.99585</v>
      </c>
      <c r="J399" t="n">
        <v>1</v>
      </c>
      <c r="K399" t="n">
        <v>116</v>
      </c>
      <c r="L399" t="inlineStr">
        <is>
          <t>projected turn slack (min)=-56 (+3.68); aircraft's latest known departure delay=116 (+0.80); inbound leg departure delay (if departed by cutoff)=116 (+0.71)</t>
        </is>
      </c>
    </row>
    <row r="400">
      <c r="A400" t="inlineStr">
        <is>
          <t>3b0a3b0589eba113ac3986b19cb7f379</t>
        </is>
      </c>
      <c r="B400" t="inlineStr">
        <is>
          <t>2024-04-04</t>
        </is>
      </c>
      <c r="C400" t="inlineStr">
        <is>
          <t>NK</t>
        </is>
      </c>
      <c r="D400" t="inlineStr">
        <is>
          <t>LAS</t>
        </is>
      </c>
      <c r="E400" t="inlineStr">
        <is>
          <t>ATL</t>
        </is>
      </c>
      <c r="F400" t="inlineStr">
        <is>
          <t>LAS-ATL</t>
        </is>
      </c>
      <c r="G400" t="n">
        <v>23</v>
      </c>
      <c r="H400" t="n">
        <v>1</v>
      </c>
      <c r="I400" t="n">
        <v>0.99585</v>
      </c>
      <c r="J400" t="n">
        <v>1</v>
      </c>
      <c r="K400" t="n">
        <v>128</v>
      </c>
      <c r="L400" t="inlineStr">
        <is>
          <t>projected turn slack (min)=-73 (+3.88); aircraft's latest known departure delay=128 (+0.84); inbound leg departure delay (if departed by cutoff)=128 (+0.82)</t>
        </is>
      </c>
    </row>
    <row r="401">
      <c r="A401" t="inlineStr">
        <is>
          <t>3f364fdbf5a355b6b5eab533b657d327</t>
        </is>
      </c>
      <c r="B401" t="inlineStr">
        <is>
          <t>2024-04-21</t>
        </is>
      </c>
      <c r="C401" t="inlineStr">
        <is>
          <t>WN</t>
        </is>
      </c>
      <c r="D401" t="inlineStr">
        <is>
          <t>MKE</t>
        </is>
      </c>
      <c r="E401" t="inlineStr">
        <is>
          <t>LAS</t>
        </is>
      </c>
      <c r="F401" t="inlineStr">
        <is>
          <t>MKE-LAS</t>
        </is>
      </c>
      <c r="G401" t="n">
        <v>19</v>
      </c>
      <c r="H401" t="n">
        <v>1</v>
      </c>
      <c r="I401" t="n">
        <v>0.99585</v>
      </c>
      <c r="J401" t="n">
        <v>1</v>
      </c>
      <c r="K401" t="n">
        <v>112</v>
      </c>
      <c r="L401" t="inlineStr">
        <is>
          <t>projected turn slack (min)=-57 (+3.93); aircraft's latest known departure delay=112 (+1.19); inbound leg departure delay (if departed by cutoff)=112 (+0.79)</t>
        </is>
      </c>
    </row>
    <row r="402">
      <c r="A402" t="inlineStr">
        <is>
          <t>677e10ac1f6d0a218c63c38c72b70254</t>
        </is>
      </c>
      <c r="B402" t="inlineStr">
        <is>
          <t>2024-04-03</t>
        </is>
      </c>
      <c r="C402" t="inlineStr">
        <is>
          <t>DL</t>
        </is>
      </c>
      <c r="D402" t="inlineStr">
        <is>
          <t>JFK</t>
        </is>
      </c>
      <c r="E402" t="inlineStr">
        <is>
          <t>BOS</t>
        </is>
      </c>
      <c r="F402" t="inlineStr">
        <is>
          <t>JFK-BOS</t>
        </is>
      </c>
      <c r="G402" t="n">
        <v>21</v>
      </c>
      <c r="H402" t="n">
        <v>1</v>
      </c>
      <c r="I402" t="n">
        <v>0.99585</v>
      </c>
      <c r="J402" t="n">
        <v>1</v>
      </c>
      <c r="K402" t="n">
        <v>98</v>
      </c>
      <c r="L402" t="inlineStr">
        <is>
          <t>projected turn slack (min)=-38 (+3.20); aircraft's latest known departure delay=98 (+0.80); inbound leg departure delay (if departed by cutoff)=98 (+0.70)</t>
        </is>
      </c>
    </row>
    <row r="403">
      <c r="A403" t="inlineStr">
        <is>
          <t>72579cedb93cf50d8c539f9dc566e1ff</t>
        </is>
      </c>
      <c r="B403" t="inlineStr">
        <is>
          <t>2024-04-03</t>
        </is>
      </c>
      <c r="C403" t="inlineStr">
        <is>
          <t>NK</t>
        </is>
      </c>
      <c r="D403" t="inlineStr">
        <is>
          <t>BWI</t>
        </is>
      </c>
      <c r="E403" t="inlineStr">
        <is>
          <t>FLL</t>
        </is>
      </c>
      <c r="F403" t="inlineStr">
        <is>
          <t>BWI-FLL</t>
        </is>
      </c>
      <c r="G403" t="n">
        <v>18</v>
      </c>
      <c r="H403" t="n">
        <v>1</v>
      </c>
      <c r="I403" t="n">
        <v>0.99585</v>
      </c>
      <c r="J403" t="n">
        <v>1</v>
      </c>
      <c r="K403" t="n">
        <v>75</v>
      </c>
      <c r="L403" t="inlineStr">
        <is>
          <t>projected turn slack (min)=-20 (+3.08); aircraft's latest known departure delay=75 (+0.63); inbound leg departure delay (if departed by cutoff)=75 (+0.55)</t>
        </is>
      </c>
    </row>
    <row r="404">
      <c r="A404" t="inlineStr">
        <is>
          <t>9d12ce4dd9ab2673edb51f5891fd70cd</t>
        </is>
      </c>
      <c r="B404" t="inlineStr">
        <is>
          <t>2024-04-26</t>
        </is>
      </c>
      <c r="C404" t="inlineStr">
        <is>
          <t>B6</t>
        </is>
      </c>
      <c r="D404" t="inlineStr">
        <is>
          <t>SFO</t>
        </is>
      </c>
      <c r="E404" t="inlineStr">
        <is>
          <t>FLL</t>
        </is>
      </c>
      <c r="F404" t="inlineStr">
        <is>
          <t>SFO-FLL</t>
        </is>
      </c>
      <c r="G404" t="n">
        <v>21</v>
      </c>
      <c r="H404" t="n">
        <v>1</v>
      </c>
      <c r="I404" t="n">
        <v>0.99585</v>
      </c>
      <c r="J404" t="n">
        <v>1</v>
      </c>
      <c r="K404" t="n">
        <v>129</v>
      </c>
      <c r="L404" t="inlineStr">
        <is>
          <t>projected turn slack (min)=-59 (+3.92); aircraft's latest known departure delay=129 (+0.84); inbound leg departure delay (if departed by cutoff)=129 (+0.73)</t>
        </is>
      </c>
    </row>
    <row r="405">
      <c r="A405" t="inlineStr">
        <is>
          <t>d0e0a917e5de738d25ae3d0b5e92f19a</t>
        </is>
      </c>
      <c r="B405" t="inlineStr">
        <is>
          <t>2024-04-12</t>
        </is>
      </c>
      <c r="C405" t="inlineStr">
        <is>
          <t>F9</t>
        </is>
      </c>
      <c r="D405" t="inlineStr">
        <is>
          <t>GRR</t>
        </is>
      </c>
      <c r="E405" t="inlineStr">
        <is>
          <t>MCO</t>
        </is>
      </c>
      <c r="F405" t="inlineStr">
        <is>
          <t>GRR-MCO</t>
        </is>
      </c>
      <c r="G405" t="n">
        <v>17</v>
      </c>
      <c r="H405" t="n">
        <v>1</v>
      </c>
      <c r="I405" t="n">
        <v>0.99585</v>
      </c>
      <c r="J405" t="n">
        <v>1</v>
      </c>
      <c r="K405" t="n">
        <v>113</v>
      </c>
      <c r="L405" t="inlineStr">
        <is>
          <t>projected turn slack (min)=-51 (+3.97); aircraft's latest known departure delay=113 (+1.00); inbound leg departure delay (if departed by cutoff)=113 (+0.69)</t>
        </is>
      </c>
    </row>
    <row r="406">
      <c r="A406" t="inlineStr">
        <is>
          <t>7906064394b92f6be4d759d182ca4c78</t>
        </is>
      </c>
      <c r="B406" t="inlineStr">
        <is>
          <t>2024-04-20</t>
        </is>
      </c>
      <c r="C406" t="inlineStr">
        <is>
          <t>AA</t>
        </is>
      </c>
      <c r="D406" t="inlineStr">
        <is>
          <t>STL</t>
        </is>
      </c>
      <c r="E406" t="inlineStr">
        <is>
          <t>LAX</t>
        </is>
      </c>
      <c r="F406" t="inlineStr">
        <is>
          <t>STL-LAX</t>
        </is>
      </c>
      <c r="G406" t="n">
        <v>17</v>
      </c>
      <c r="H406" t="n">
        <v>1</v>
      </c>
      <c r="I406" t="n">
        <v>0.9958399999999999</v>
      </c>
      <c r="J406" t="n">
        <v>1</v>
      </c>
      <c r="K406" t="n">
        <v>89</v>
      </c>
      <c r="L406" t="inlineStr">
        <is>
          <t>projected turn slack (min)=-49 (+3.94); aircraft's latest known departure delay=89 (+0.97); inbound leg departure delay (if departed by cutoff)=89 (+0.82)</t>
        </is>
      </c>
    </row>
    <row r="407">
      <c r="A407" t="inlineStr">
        <is>
          <t>8c11723a1e26e4a8d74cbc3181fc2345</t>
        </is>
      </c>
      <c r="B407" t="inlineStr">
        <is>
          <t>2024-04-11</t>
        </is>
      </c>
      <c r="C407" t="inlineStr">
        <is>
          <t>F9</t>
        </is>
      </c>
      <c r="D407" t="inlineStr">
        <is>
          <t>ISP</t>
        </is>
      </c>
      <c r="E407" t="inlineStr">
        <is>
          <t>MCO</t>
        </is>
      </c>
      <c r="F407" t="inlineStr">
        <is>
          <t>ISP-MCO</t>
        </is>
      </c>
      <c r="G407" t="n">
        <v>21</v>
      </c>
      <c r="H407" t="n">
        <v>1</v>
      </c>
      <c r="I407" t="n">
        <v>0.9958399999999999</v>
      </c>
      <c r="J407" t="n">
        <v>1</v>
      </c>
      <c r="K407" t="n">
        <v>112</v>
      </c>
      <c r="L407" t="inlineStr">
        <is>
          <t>projected turn slack (min)=-52 (+2.63); aircraft's latest known departure delay=154 (+1.05); inbound leg overdue, not yet departed (min)=112 (+0.79)</t>
        </is>
      </c>
    </row>
    <row r="408">
      <c r="A408" t="inlineStr">
        <is>
          <t>a69ba9f6558cabc06768a05423bf592c</t>
        </is>
      </c>
      <c r="B408" t="inlineStr">
        <is>
          <t>2024-04-11</t>
        </is>
      </c>
      <c r="C408" t="inlineStr">
        <is>
          <t>UA</t>
        </is>
      </c>
      <c r="D408" t="inlineStr">
        <is>
          <t>EWR</t>
        </is>
      </c>
      <c r="E408" t="inlineStr">
        <is>
          <t>FLL</t>
        </is>
      </c>
      <c r="F408" t="inlineStr">
        <is>
          <t>EWR-FLL</t>
        </is>
      </c>
      <c r="G408" t="n">
        <v>16</v>
      </c>
      <c r="H408" t="n">
        <v>1</v>
      </c>
      <c r="I408" t="n">
        <v>0.9958399999999999</v>
      </c>
      <c r="J408" t="n">
        <v>1</v>
      </c>
      <c r="K408" t="n">
        <v>105</v>
      </c>
      <c r="L408" t="inlineStr">
        <is>
          <t>projected turn slack (min)=-35 (+3.52); aircraft's latest known departure delay=105 (+0.66); inbound leg departure delay (if departed by cutoff)=105 (+0.56)</t>
        </is>
      </c>
    </row>
    <row r="409">
      <c r="A409" t="inlineStr">
        <is>
          <t>bf050424ed7e3e6ec5efe9d850582d6b</t>
        </is>
      </c>
      <c r="B409" t="inlineStr">
        <is>
          <t>2024-04-11</t>
        </is>
      </c>
      <c r="C409" t="inlineStr">
        <is>
          <t>WN</t>
        </is>
      </c>
      <c r="D409" t="inlineStr">
        <is>
          <t>SYR</t>
        </is>
      </c>
      <c r="E409" t="inlineStr">
        <is>
          <t>MCO</t>
        </is>
      </c>
      <c r="F409" t="inlineStr">
        <is>
          <t>SYR-MCO</t>
        </is>
      </c>
      <c r="G409" t="n">
        <v>15</v>
      </c>
      <c r="H409" t="n">
        <v>1</v>
      </c>
      <c r="I409" t="n">
        <v>0.99583</v>
      </c>
      <c r="J409" t="n">
        <v>1</v>
      </c>
      <c r="K409" t="n">
        <v>79</v>
      </c>
      <c r="L409" t="inlineStr">
        <is>
          <t>projected turn slack (min)=-34 (+3.47); aircraft's latest known departure delay=79 (+0.72); inbound leg departure delay (if departed by cutoff)=79 (+0.65)</t>
        </is>
      </c>
    </row>
    <row r="410">
      <c r="A410" t="inlineStr">
        <is>
          <t>1e44ca39b1af83124e2caad6e06ff295</t>
        </is>
      </c>
      <c r="B410" t="inlineStr">
        <is>
          <t>2024-04-11</t>
        </is>
      </c>
      <c r="C410" t="inlineStr">
        <is>
          <t>AA</t>
        </is>
      </c>
      <c r="D410" t="inlineStr">
        <is>
          <t>MCO</t>
        </is>
      </c>
      <c r="E410" t="inlineStr">
        <is>
          <t>MIA</t>
        </is>
      </c>
      <c r="F410" t="inlineStr">
        <is>
          <t>MCO-MIA</t>
        </is>
      </c>
      <c r="G410" t="n">
        <v>15</v>
      </c>
      <c r="H410" t="n">
        <v>1</v>
      </c>
      <c r="I410" t="n">
        <v>0.99582</v>
      </c>
      <c r="J410" t="n">
        <v>1</v>
      </c>
      <c r="K410" t="n">
        <v>79</v>
      </c>
      <c r="L410" t="inlineStr">
        <is>
          <t>projected turn slack (min)=-23 (+3.02); aircraft's latest known departure delay=79 (+0.64); inbound leg departure delay (if departed by cutoff)=79 (+0.53)</t>
        </is>
      </c>
    </row>
    <row r="411">
      <c r="A411" t="inlineStr">
        <is>
          <t>c0fc11da7fe6c1d025ce0f9cf0873fc0</t>
        </is>
      </c>
      <c r="B411" t="inlineStr">
        <is>
          <t>2024-04-11</t>
        </is>
      </c>
      <c r="C411" t="inlineStr">
        <is>
          <t>B6</t>
        </is>
      </c>
      <c r="D411" t="inlineStr">
        <is>
          <t>PBI</t>
        </is>
      </c>
      <c r="E411" t="inlineStr">
        <is>
          <t>DCA</t>
        </is>
      </c>
      <c r="F411" t="inlineStr">
        <is>
          <t>PBI-DCA</t>
        </is>
      </c>
      <c r="G411" t="n">
        <v>13</v>
      </c>
      <c r="H411" t="n">
        <v>1</v>
      </c>
      <c r="I411" t="n">
        <v>0.99582</v>
      </c>
      <c r="J411" t="n">
        <v>1</v>
      </c>
      <c r="K411" t="n">
        <v>79</v>
      </c>
      <c r="L411" t="inlineStr">
        <is>
          <t>projected turn slack (min)=-34 (+3.64); aircraft's latest known departure delay=79 (+0.88); inbound leg departure delay (if departed by cutoff)=79 (+0.83)</t>
        </is>
      </c>
    </row>
    <row r="412">
      <c r="A412" t="inlineStr">
        <is>
          <t>3c2a4151676ebab5bfddbf1d176e7cfd</t>
        </is>
      </c>
      <c r="B412" t="inlineStr">
        <is>
          <t>2024-04-03</t>
        </is>
      </c>
      <c r="C412" t="inlineStr">
        <is>
          <t>NK</t>
        </is>
      </c>
      <c r="D412" t="inlineStr">
        <is>
          <t>MIA</t>
        </is>
      </c>
      <c r="E412" t="inlineStr">
        <is>
          <t>PHL</t>
        </is>
      </c>
      <c r="F412" t="inlineStr">
        <is>
          <t>MIA-PHL</t>
        </is>
      </c>
      <c r="G412" t="n">
        <v>21</v>
      </c>
      <c r="H412" t="n">
        <v>1</v>
      </c>
      <c r="I412" t="n">
        <v>0.99581</v>
      </c>
      <c r="J412" t="n">
        <v>1</v>
      </c>
      <c r="K412" t="n">
        <v>115</v>
      </c>
      <c r="L412" t="inlineStr">
        <is>
          <t>projected turn slack (min)=-41 (+3.61); aircraft's latest known departure delay=115 (+0.71); inbound leg departure delay (if departed by cutoff)=115 (+0.71)</t>
        </is>
      </c>
    </row>
    <row r="413">
      <c r="A413" t="inlineStr">
        <is>
          <t>9700f39dd15154541b72204815dac158</t>
        </is>
      </c>
      <c r="B413" t="inlineStr">
        <is>
          <t>2024-04-18</t>
        </is>
      </c>
      <c r="C413" t="inlineStr">
        <is>
          <t>WN</t>
        </is>
      </c>
      <c r="D413" t="inlineStr">
        <is>
          <t>HOU</t>
        </is>
      </c>
      <c r="E413" t="inlineStr">
        <is>
          <t>SAT</t>
        </is>
      </c>
      <c r="F413" t="inlineStr">
        <is>
          <t>HOU-SAT</t>
        </is>
      </c>
      <c r="G413" t="n">
        <v>21</v>
      </c>
      <c r="H413" t="n">
        <v>1</v>
      </c>
      <c r="I413" t="n">
        <v>0.9958</v>
      </c>
      <c r="J413" t="n">
        <v>1</v>
      </c>
      <c r="K413" t="n">
        <v>93</v>
      </c>
      <c r="L413" t="inlineStr">
        <is>
          <t>projected turn slack (min)=-48 (+3.61); aircraft's latest known departure delay=93 (+0.96); inbound leg departure delay (if departed by cutoff)=93 (+0.72)</t>
        </is>
      </c>
    </row>
    <row r="414">
      <c r="A414" t="inlineStr">
        <is>
          <t>613cc7a1f8ef5edbe89ec5a5aceee62a</t>
        </is>
      </c>
      <c r="B414" t="inlineStr">
        <is>
          <t>2024-04-04</t>
        </is>
      </c>
      <c r="C414" t="inlineStr">
        <is>
          <t>WN</t>
        </is>
      </c>
      <c r="D414" t="inlineStr">
        <is>
          <t>DEN</t>
        </is>
      </c>
      <c r="E414" t="inlineStr">
        <is>
          <t>BUF</t>
        </is>
      </c>
      <c r="F414" t="inlineStr">
        <is>
          <t>DEN-BUF</t>
        </is>
      </c>
      <c r="G414" t="n">
        <v>19</v>
      </c>
      <c r="H414" t="n">
        <v>1</v>
      </c>
      <c r="I414" t="n">
        <v>0.99579</v>
      </c>
      <c r="J414" t="n">
        <v>1</v>
      </c>
      <c r="K414" t="n">
        <v>129</v>
      </c>
      <c r="L414" t="inlineStr">
        <is>
          <t>projected turn slack (min)=-74 (+3.78); aircraft's latest known departure delay=129 (+0.87); inbound leg departure delay (if departed by cutoff)=129 (+0.73)</t>
        </is>
      </c>
    </row>
    <row r="415">
      <c r="A415" t="inlineStr">
        <is>
          <t>a47064b2564b010b3d57ff3b0f9c12b3</t>
        </is>
      </c>
      <c r="B415" t="inlineStr">
        <is>
          <t>2024-04-17</t>
        </is>
      </c>
      <c r="C415" t="inlineStr">
        <is>
          <t>AS</t>
        </is>
      </c>
      <c r="D415" t="inlineStr">
        <is>
          <t>ANC</t>
        </is>
      </c>
      <c r="E415" t="inlineStr">
        <is>
          <t>SEA</t>
        </is>
      </c>
      <c r="F415" t="inlineStr">
        <is>
          <t>ANC-SEA</t>
        </is>
      </c>
      <c r="G415" t="n">
        <v>17</v>
      </c>
      <c r="H415" t="n">
        <v>1</v>
      </c>
      <c r="I415" t="n">
        <v>0.99579</v>
      </c>
      <c r="J415" t="n">
        <v>1</v>
      </c>
      <c r="K415" t="n">
        <v>105</v>
      </c>
      <c r="L415" t="inlineStr">
        <is>
          <t>projected turn slack (min)=-41 (+4.00); aircraft's latest known departure delay=105 (+0.94); inbound leg departure delay (if departed by cutoff)=105 (+0.81)</t>
        </is>
      </c>
    </row>
    <row r="416">
      <c r="A416" t="inlineStr">
        <is>
          <t>18f55ffd12fb3527c2dbf223082cd9bf</t>
        </is>
      </c>
      <c r="B416" t="inlineStr">
        <is>
          <t>2024-04-05</t>
        </is>
      </c>
      <c r="C416" t="inlineStr">
        <is>
          <t>WN</t>
        </is>
      </c>
      <c r="D416" t="inlineStr">
        <is>
          <t>TPA</t>
        </is>
      </c>
      <c r="E416" t="inlineStr">
        <is>
          <t>MDW</t>
        </is>
      </c>
      <c r="F416" t="inlineStr">
        <is>
          <t>TPA-MDW</t>
        </is>
      </c>
      <c r="G416" t="n">
        <v>22</v>
      </c>
      <c r="H416" t="n">
        <v>1</v>
      </c>
      <c r="I416" t="n">
        <v>0.99578</v>
      </c>
      <c r="J416" t="n">
        <v>1</v>
      </c>
      <c r="K416" t="n">
        <v>102</v>
      </c>
      <c r="L416" t="inlineStr">
        <is>
          <t>projected turn slack (min)=-57 (+3.90); aircraft's latest known departure delay=102 (+1.19); inbound leg departure delay (if departed by cutoff)=102 (+0.77)</t>
        </is>
      </c>
    </row>
    <row r="417">
      <c r="A417" t="inlineStr">
        <is>
          <t>5e7c265a07e38e6b69014eb52acd2c35</t>
        </is>
      </c>
      <c r="B417" t="inlineStr">
        <is>
          <t>2024-04-12</t>
        </is>
      </c>
      <c r="C417" t="inlineStr">
        <is>
          <t>NK</t>
        </is>
      </c>
      <c r="D417" t="inlineStr">
        <is>
          <t>MIA</t>
        </is>
      </c>
      <c r="E417" t="inlineStr">
        <is>
          <t>PHL</t>
        </is>
      </c>
      <c r="F417" t="inlineStr">
        <is>
          <t>MIA-PHL</t>
        </is>
      </c>
      <c r="G417" t="n">
        <v>22</v>
      </c>
      <c r="H417" t="n">
        <v>1</v>
      </c>
      <c r="I417" t="n">
        <v>0.99578</v>
      </c>
      <c r="J417" t="n">
        <v>1</v>
      </c>
      <c r="K417" t="n">
        <v>94</v>
      </c>
      <c r="L417" t="inlineStr">
        <is>
          <t>projected turn slack (min)=-44 (+3.92); aircraft's latest known departure delay=94 (+0.93); inbound leg departure delay (if departed by cutoff)=94 (+0.74)</t>
        </is>
      </c>
    </row>
    <row r="418">
      <c r="A418" t="inlineStr">
        <is>
          <t>c30df65fdefa6a58af203a304dd0ca6e</t>
        </is>
      </c>
      <c r="B418" t="inlineStr">
        <is>
          <t>2024-04-11</t>
        </is>
      </c>
      <c r="C418" t="inlineStr">
        <is>
          <t>F9</t>
        </is>
      </c>
      <c r="D418" t="inlineStr">
        <is>
          <t>RDU</t>
        </is>
      </c>
      <c r="E418" t="inlineStr">
        <is>
          <t>MCO</t>
        </is>
      </c>
      <c r="F418" t="inlineStr">
        <is>
          <t>RDU-MCO</t>
        </is>
      </c>
      <c r="G418" t="n">
        <v>14</v>
      </c>
      <c r="H418" t="n">
        <v>1</v>
      </c>
      <c r="I418" t="n">
        <v>0.99578</v>
      </c>
      <c r="J418" t="n">
        <v>1</v>
      </c>
      <c r="K418" t="n">
        <v>45</v>
      </c>
      <c r="L418" t="inlineStr">
        <is>
          <t>projected turn slack (min)=5 (+1.76); aircraft's latest known departure delay=144 (+1.12); inbound leg overdue, not yet departed (min)=45 (+0.73)</t>
        </is>
      </c>
    </row>
    <row r="419">
      <c r="A419" t="inlineStr">
        <is>
          <t>f05c08e7cdb7f2b04d285c7443766a41</t>
        </is>
      </c>
      <c r="B419" t="inlineStr">
        <is>
          <t>2024-04-13</t>
        </is>
      </c>
      <c r="C419" t="inlineStr">
        <is>
          <t>F9</t>
        </is>
      </c>
      <c r="D419" t="inlineStr">
        <is>
          <t>SFO</t>
        </is>
      </c>
      <c r="E419" t="inlineStr">
        <is>
          <t>DEN</t>
        </is>
      </c>
      <c r="F419" t="inlineStr">
        <is>
          <t>SFO-DEN</t>
        </is>
      </c>
      <c r="G419" t="n">
        <v>21</v>
      </c>
      <c r="H419" t="n">
        <v>1</v>
      </c>
      <c r="I419" t="n">
        <v>0.99578</v>
      </c>
      <c r="J419" t="n">
        <v>1</v>
      </c>
      <c r="K419" t="n">
        <v>97</v>
      </c>
      <c r="L419" t="inlineStr">
        <is>
          <t>projected turn slack (min)=-37 (+3.81); aircraft's latest known departure delay=97 (+0.88); inbound leg departure delay (if departed by cutoff)=97 (+0.67)</t>
        </is>
      </c>
    </row>
    <row r="420">
      <c r="A420" t="inlineStr">
        <is>
          <t>416e8fe45e21b79b0abf7540223ccd8d</t>
        </is>
      </c>
      <c r="B420" t="inlineStr">
        <is>
          <t>2024-04-03</t>
        </is>
      </c>
      <c r="C420" t="inlineStr">
        <is>
          <t>G4</t>
        </is>
      </c>
      <c r="D420" t="inlineStr">
        <is>
          <t>AVL</t>
        </is>
      </c>
      <c r="E420" t="inlineStr">
        <is>
          <t>SFB</t>
        </is>
      </c>
      <c r="F420" t="inlineStr">
        <is>
          <t>AVL-SFB</t>
        </is>
      </c>
      <c r="G420" t="n">
        <v>15</v>
      </c>
      <c r="H420" t="n">
        <v>1</v>
      </c>
      <c r="I420" t="n">
        <v>0.99577</v>
      </c>
      <c r="J420" t="n">
        <v>1</v>
      </c>
      <c r="K420" t="n">
        <v>53</v>
      </c>
      <c r="L420" t="inlineStr">
        <is>
          <t>projected turn slack (min)=-3 (+2.20); aircraft's latest known departure delay=204 (+1.01); inbound leg overdue, not yet departed (min)=53 (+0.81)</t>
        </is>
      </c>
    </row>
    <row r="421">
      <c r="A421" t="inlineStr">
        <is>
          <t>54079b4369cda6a21ede4c26b3895081</t>
        </is>
      </c>
      <c r="B421" t="inlineStr">
        <is>
          <t>2024-04-28</t>
        </is>
      </c>
      <c r="C421" t="inlineStr">
        <is>
          <t>DL</t>
        </is>
      </c>
      <c r="D421" t="inlineStr">
        <is>
          <t>AUS</t>
        </is>
      </c>
      <c r="E421" t="inlineStr">
        <is>
          <t>LAX</t>
        </is>
      </c>
      <c r="F421" t="inlineStr">
        <is>
          <t>AUS-LAX</t>
        </is>
      </c>
      <c r="G421" t="n">
        <v>16</v>
      </c>
      <c r="H421" t="n">
        <v>1</v>
      </c>
      <c r="I421" t="n">
        <v>0.99577</v>
      </c>
      <c r="J421" t="n">
        <v>1</v>
      </c>
      <c r="K421" t="n">
        <v>101</v>
      </c>
      <c r="L421" t="inlineStr">
        <is>
          <t>projected turn slack (min)=-45 (+3.87); inbound leg departure delay (if departed by cutoff)=101 (+0.79); aircraft's latest known departure delay=101 (+0.78)</t>
        </is>
      </c>
    </row>
    <row r="422">
      <c r="A422" t="inlineStr">
        <is>
          <t>844283f801f5f0993266cb810058f606</t>
        </is>
      </c>
      <c r="B422" t="inlineStr">
        <is>
          <t>2024-04-21</t>
        </is>
      </c>
      <c r="C422" t="inlineStr">
        <is>
          <t>WN</t>
        </is>
      </c>
      <c r="D422" t="inlineStr">
        <is>
          <t>BWI</t>
        </is>
      </c>
      <c r="E422" t="inlineStr">
        <is>
          <t>MKE</t>
        </is>
      </c>
      <c r="F422" t="inlineStr">
        <is>
          <t>BWI-MKE</t>
        </is>
      </c>
      <c r="G422" t="n">
        <v>21</v>
      </c>
      <c r="H422" t="n">
        <v>1</v>
      </c>
      <c r="I422" t="n">
        <v>0.99577</v>
      </c>
      <c r="J422" t="n">
        <v>1</v>
      </c>
      <c r="K422" t="n">
        <v>91</v>
      </c>
      <c r="L422" t="inlineStr">
        <is>
          <t>projected turn slack (min)=-41 (+4.03); aircraft's latest known departure delay=91 (+1.07); inbound leg departure delay (if departed by cutoff)=91 (+0.82)</t>
        </is>
      </c>
    </row>
    <row r="423">
      <c r="A423" t="inlineStr">
        <is>
          <t>143ce54f11bc7b1ecf4c5551fcd6e4ad</t>
        </is>
      </c>
      <c r="B423" t="inlineStr">
        <is>
          <t>2024-04-11</t>
        </is>
      </c>
      <c r="C423" t="inlineStr">
        <is>
          <t>AA</t>
        </is>
      </c>
      <c r="D423" t="inlineStr">
        <is>
          <t>MCO</t>
        </is>
      </c>
      <c r="E423" t="inlineStr">
        <is>
          <t>PHX</t>
        </is>
      </c>
      <c r="F423" t="inlineStr">
        <is>
          <t>MCO-PHX</t>
        </is>
      </c>
      <c r="G423" t="n">
        <v>17</v>
      </c>
      <c r="H423" t="n">
        <v>1</v>
      </c>
      <c r="I423" t="n">
        <v>0.99576</v>
      </c>
      <c r="J423" t="n">
        <v>1</v>
      </c>
      <c r="K423" t="n">
        <v>147</v>
      </c>
      <c r="L423" t="inlineStr">
        <is>
          <t>projected turn slack (min)=-65 (+3.38); inbound leg departure delay (if departed by cutoff)=147 (+0.66); aircraft's latest known departure delay=147 (+0.61)</t>
        </is>
      </c>
    </row>
    <row r="424">
      <c r="A424" t="inlineStr">
        <is>
          <t>3b14106c6a8421c28652e617c0de01a9</t>
        </is>
      </c>
      <c r="B424" t="inlineStr">
        <is>
          <t>2024-04-10</t>
        </is>
      </c>
      <c r="C424" t="inlineStr">
        <is>
          <t>AS</t>
        </is>
      </c>
      <c r="D424" t="inlineStr">
        <is>
          <t>MCO</t>
        </is>
      </c>
      <c r="E424" t="inlineStr">
        <is>
          <t>PDX</t>
        </is>
      </c>
      <c r="F424" t="inlineStr">
        <is>
          <t>MCO-PDX</t>
        </is>
      </c>
      <c r="G424" t="n">
        <v>19</v>
      </c>
      <c r="H424" t="n">
        <v>1</v>
      </c>
      <c r="I424" t="n">
        <v>0.99576</v>
      </c>
      <c r="J424" t="n">
        <v>1</v>
      </c>
      <c r="K424" t="n">
        <v>116</v>
      </c>
      <c r="L424" t="inlineStr">
        <is>
          <t>projected turn slack (min)=-51 (+4.21); aircraft's latest known departure delay=116 (+0.82); inbound leg departure delay (if departed by cutoff)=116 (+0.78)</t>
        </is>
      </c>
    </row>
    <row r="425">
      <c r="A425" t="inlineStr">
        <is>
          <t>4d6b178e85a9802e7e2245b2a6ba2f04</t>
        </is>
      </c>
      <c r="B425" t="inlineStr">
        <is>
          <t>2024-04-11</t>
        </is>
      </c>
      <c r="C425" t="inlineStr">
        <is>
          <t>UA</t>
        </is>
      </c>
      <c r="D425" t="inlineStr">
        <is>
          <t>MIA</t>
        </is>
      </c>
      <c r="E425" t="inlineStr">
        <is>
          <t>EWR</t>
        </is>
      </c>
      <c r="F425" t="inlineStr">
        <is>
          <t>MIA-EWR</t>
        </is>
      </c>
      <c r="G425" t="n">
        <v>17</v>
      </c>
      <c r="H425" t="n">
        <v>1</v>
      </c>
      <c r="I425" t="n">
        <v>0.99576</v>
      </c>
      <c r="J425" t="n">
        <v>1</v>
      </c>
      <c r="K425" t="n">
        <v>179</v>
      </c>
      <c r="L425" t="inlineStr">
        <is>
          <t>projected turn slack (min)=-104 (+3.27); aircraft's latest known departure delay=179 (+0.70); inbound leg departure delay (if departed by cutoff)=179 (+0.59)</t>
        </is>
      </c>
    </row>
    <row r="426">
      <c r="A426" t="inlineStr">
        <is>
          <t>50060a26f5c748ee6b6e574b9d6ccef1</t>
        </is>
      </c>
      <c r="B426" t="inlineStr">
        <is>
          <t>2024-04-23</t>
        </is>
      </c>
      <c r="C426" t="inlineStr">
        <is>
          <t>F9</t>
        </is>
      </c>
      <c r="D426" t="inlineStr">
        <is>
          <t>RDU</t>
        </is>
      </c>
      <c r="E426" t="inlineStr">
        <is>
          <t>LGA</t>
        </is>
      </c>
      <c r="F426" t="inlineStr">
        <is>
          <t>RDU-LGA</t>
        </is>
      </c>
      <c r="G426" t="n">
        <v>21</v>
      </c>
      <c r="H426" t="n">
        <v>1</v>
      </c>
      <c r="I426" t="n">
        <v>0.99576</v>
      </c>
      <c r="J426" t="n">
        <v>1</v>
      </c>
      <c r="K426" t="n">
        <v>117</v>
      </c>
      <c r="L426" t="inlineStr">
        <is>
          <t>projected turn slack (min)=-62 (+4.22); aircraft's latest known departure delay=117 (+1.22); inbound leg departure delay (if departed by cutoff)=117 (+0.74)</t>
        </is>
      </c>
    </row>
    <row r="427">
      <c r="A427" t="inlineStr">
        <is>
          <t>64de339055cd11578da6346cbd0b4944</t>
        </is>
      </c>
      <c r="B427" t="inlineStr">
        <is>
          <t>2024-04-11</t>
        </is>
      </c>
      <c r="C427" t="inlineStr">
        <is>
          <t>B6</t>
        </is>
      </c>
      <c r="D427" t="inlineStr">
        <is>
          <t>PHX</t>
        </is>
      </c>
      <c r="E427" t="inlineStr">
        <is>
          <t>BOS</t>
        </is>
      </c>
      <c r="F427" t="inlineStr">
        <is>
          <t>PHX-BOS</t>
        </is>
      </c>
      <c r="G427" t="n">
        <v>23</v>
      </c>
      <c r="H427" t="n">
        <v>1</v>
      </c>
      <c r="I427" t="n">
        <v>0.99576</v>
      </c>
      <c r="J427" t="n">
        <v>1</v>
      </c>
      <c r="K427" t="n">
        <v>126</v>
      </c>
      <c r="L427" t="inlineStr">
        <is>
          <t>projected turn slack (min)=-76 (+3.67); aircraft's latest known departure delay=126 (+1.01); inbound leg departure delay (if departed by cutoff)=126 (+0.72)</t>
        </is>
      </c>
    </row>
    <row r="428">
      <c r="A428" t="inlineStr">
        <is>
          <t>7cd9e4ce52c26025ebec40624722c3de</t>
        </is>
      </c>
      <c r="B428" t="inlineStr">
        <is>
          <t>2024-04-11</t>
        </is>
      </c>
      <c r="C428" t="inlineStr">
        <is>
          <t>B6</t>
        </is>
      </c>
      <c r="D428" t="inlineStr">
        <is>
          <t>MCO</t>
        </is>
      </c>
      <c r="E428" t="inlineStr">
        <is>
          <t>EWR</t>
        </is>
      </c>
      <c r="F428" t="inlineStr">
        <is>
          <t>MCO-EWR</t>
        </is>
      </c>
      <c r="G428" t="n">
        <v>13</v>
      </c>
      <c r="H428" t="n">
        <v>1</v>
      </c>
      <c r="I428" t="n">
        <v>0.99576</v>
      </c>
      <c r="J428" t="n">
        <v>1</v>
      </c>
      <c r="K428" t="n">
        <v>149</v>
      </c>
      <c r="L428" t="inlineStr">
        <is>
          <t>projected turn slack (min)=-74 (+3.58); inbound leg departure delay (if departed by cutoff)=149 (+0.70); aircraft's latest known departure delay=149 (+0.67)</t>
        </is>
      </c>
    </row>
    <row r="429">
      <c r="A429" t="inlineStr">
        <is>
          <t>7f033d37535bec1f96d384700ad6c06b</t>
        </is>
      </c>
      <c r="B429" t="inlineStr">
        <is>
          <t>2024-04-04</t>
        </is>
      </c>
      <c r="C429" t="inlineStr">
        <is>
          <t>NK</t>
        </is>
      </c>
      <c r="D429" t="inlineStr">
        <is>
          <t>BNA</t>
        </is>
      </c>
      <c r="E429" t="inlineStr">
        <is>
          <t>BOS</t>
        </is>
      </c>
      <c r="F429" t="inlineStr">
        <is>
          <t>BNA-BOS</t>
        </is>
      </c>
      <c r="G429" t="n">
        <v>18</v>
      </c>
      <c r="H429" t="n">
        <v>1</v>
      </c>
      <c r="I429" t="n">
        <v>0.99576</v>
      </c>
      <c r="J429" t="n">
        <v>1</v>
      </c>
      <c r="K429" t="n">
        <v>94</v>
      </c>
      <c r="L429" t="inlineStr">
        <is>
          <t>projected turn slack (min)=-43 (+3.81); aircraft's latest known departure delay=94 (+0.84); inbound leg departure delay (if departed by cutoff)=94 (+0.76)</t>
        </is>
      </c>
    </row>
    <row r="430">
      <c r="A430" t="inlineStr">
        <is>
          <t>d6cdb5f4e7d0078ba1b121239438d959</t>
        </is>
      </c>
      <c r="B430" t="inlineStr">
        <is>
          <t>2024-04-17</t>
        </is>
      </c>
      <c r="C430" t="inlineStr">
        <is>
          <t>F9</t>
        </is>
      </c>
      <c r="D430" t="inlineStr">
        <is>
          <t>PHX</t>
        </is>
      </c>
      <c r="E430" t="inlineStr">
        <is>
          <t>ATL</t>
        </is>
      </c>
      <c r="F430" t="inlineStr">
        <is>
          <t>PHX-ATL</t>
        </is>
      </c>
      <c r="G430" t="n">
        <v>12</v>
      </c>
      <c r="H430" t="n">
        <v>1</v>
      </c>
      <c r="I430" t="n">
        <v>0.99576</v>
      </c>
      <c r="J430" t="n">
        <v>1</v>
      </c>
      <c r="K430" t="n">
        <v>97</v>
      </c>
      <c r="L430" t="inlineStr">
        <is>
          <t>projected turn slack (min)=-32 (+4.08); aircraft's latest known departure delay=97 (+0.94); inbound leg departure delay (if departed by cutoff)=97 (+0.71)</t>
        </is>
      </c>
    </row>
    <row r="431">
      <c r="A431" t="inlineStr">
        <is>
          <t>2b913368579fdbf7f62120b6567e392f</t>
        </is>
      </c>
      <c r="B431" t="inlineStr">
        <is>
          <t>2024-04-03</t>
        </is>
      </c>
      <c r="C431" t="inlineStr">
        <is>
          <t>DL</t>
        </is>
      </c>
      <c r="D431" t="inlineStr">
        <is>
          <t>MCO</t>
        </is>
      </c>
      <c r="E431" t="inlineStr">
        <is>
          <t>DTW</t>
        </is>
      </c>
      <c r="F431" t="inlineStr">
        <is>
          <t>MCO-DTW</t>
        </is>
      </c>
      <c r="G431" t="n">
        <v>14</v>
      </c>
      <c r="H431" t="n">
        <v>1</v>
      </c>
      <c r="I431" t="n">
        <v>0.99575</v>
      </c>
      <c r="J431" t="n">
        <v>1</v>
      </c>
      <c r="K431" t="n">
        <v>118</v>
      </c>
      <c r="L431" t="inlineStr">
        <is>
          <t>projected turn slack (min)=-32 (+3.54); inbound leg departure delay (if departed by cutoff)=118 (+0.59); aircraft's latest known departure delay=118 (+0.55)</t>
        </is>
      </c>
    </row>
    <row r="432">
      <c r="A432" t="inlineStr">
        <is>
          <t>73a5fdb05b99feed5e811c3955d2c55e</t>
        </is>
      </c>
      <c r="B432" t="inlineStr">
        <is>
          <t>2024-04-26</t>
        </is>
      </c>
      <c r="C432" t="inlineStr">
        <is>
          <t>AA</t>
        </is>
      </c>
      <c r="D432" t="inlineStr">
        <is>
          <t>GEG</t>
        </is>
      </c>
      <c r="E432" t="inlineStr">
        <is>
          <t>DFW</t>
        </is>
      </c>
      <c r="F432" t="inlineStr">
        <is>
          <t>GEG-DFW</t>
        </is>
      </c>
      <c r="G432" t="n">
        <v>12</v>
      </c>
      <c r="H432" t="n">
        <v>1</v>
      </c>
      <c r="I432" t="n">
        <v>0.99575</v>
      </c>
      <c r="J432" t="n">
        <v>1</v>
      </c>
      <c r="K432" t="n">
        <v>111</v>
      </c>
      <c r="L432" t="inlineStr">
        <is>
          <t>projected turn slack (min)=-66 (+3.69); aircraft's latest known departure delay=111 (+0.77); inbound leg departure delay (if departed by cutoff)=111 (+0.72)</t>
        </is>
      </c>
    </row>
    <row r="433">
      <c r="A433" t="inlineStr">
        <is>
          <t>d3691fc4881c77df42e59810caa90862</t>
        </is>
      </c>
      <c r="B433" t="inlineStr">
        <is>
          <t>2024-04-10</t>
        </is>
      </c>
      <c r="C433" t="inlineStr">
        <is>
          <t>WN</t>
        </is>
      </c>
      <c r="D433" t="inlineStr">
        <is>
          <t>LAX</t>
        </is>
      </c>
      <c r="E433" t="inlineStr">
        <is>
          <t>SMF</t>
        </is>
      </c>
      <c r="F433" t="inlineStr">
        <is>
          <t>LAX-SMF</t>
        </is>
      </c>
      <c r="G433" t="n">
        <v>13</v>
      </c>
      <c r="H433" t="n">
        <v>1</v>
      </c>
      <c r="I433" t="n">
        <v>0.99575</v>
      </c>
      <c r="J433" t="n">
        <v>1</v>
      </c>
      <c r="K433" t="n">
        <v>91</v>
      </c>
      <c r="L433" t="inlineStr">
        <is>
          <t>projected turn slack (min)=-46 (+4.03); inbound leg departure delay (if departed by cutoff)=91 (+0.85); aircraft's latest known departure delay=91 (+0.83)</t>
        </is>
      </c>
    </row>
    <row r="434">
      <c r="A434" t="inlineStr">
        <is>
          <t>5a6913c491a3b7ef05c4e4f5f696d0fa</t>
        </is>
      </c>
      <c r="B434" t="inlineStr">
        <is>
          <t>2024-04-16</t>
        </is>
      </c>
      <c r="C434" t="inlineStr">
        <is>
          <t>AA</t>
        </is>
      </c>
      <c r="D434" t="inlineStr">
        <is>
          <t>LAS</t>
        </is>
      </c>
      <c r="E434" t="inlineStr">
        <is>
          <t>ORD</t>
        </is>
      </c>
      <c r="F434" t="inlineStr">
        <is>
          <t>LAS-ORD</t>
        </is>
      </c>
      <c r="G434" t="n">
        <v>12</v>
      </c>
      <c r="H434" t="n">
        <v>1</v>
      </c>
      <c r="I434" t="n">
        <v>0.99574</v>
      </c>
      <c r="J434" t="n">
        <v>1</v>
      </c>
      <c r="K434" t="n">
        <v>136</v>
      </c>
      <c r="L434" t="inlineStr">
        <is>
          <t>projected turn slack (min)=-86 (+3.32); aircraft's latest known departure delay=136 (+0.89); inbound leg departure delay (if departed by cutoff)=136 (+0.70)</t>
        </is>
      </c>
    </row>
    <row r="435">
      <c r="A435" t="inlineStr">
        <is>
          <t>848c6278770d303dce97e1f080a508dc</t>
        </is>
      </c>
      <c r="B435" t="inlineStr">
        <is>
          <t>2024-04-17</t>
        </is>
      </c>
      <c r="C435" t="inlineStr">
        <is>
          <t>AS</t>
        </is>
      </c>
      <c r="D435" t="inlineStr">
        <is>
          <t>JFK</t>
        </is>
      </c>
      <c r="E435" t="inlineStr">
        <is>
          <t>SAN</t>
        </is>
      </c>
      <c r="F435" t="inlineStr">
        <is>
          <t>JFK-SAN</t>
        </is>
      </c>
      <c r="G435" t="n">
        <v>16</v>
      </c>
      <c r="H435" t="n">
        <v>1</v>
      </c>
      <c r="I435" t="n">
        <v>0.99574</v>
      </c>
      <c r="J435" t="n">
        <v>1</v>
      </c>
      <c r="K435" t="n">
        <v>108</v>
      </c>
      <c r="L435" t="inlineStr">
        <is>
          <t>projected turn slack (min)=-48 (+4.28); aircraft's latest known departure delay=108 (+0.94); inbound leg departure delay (if departed by cutoff)=108 (+0.85)</t>
        </is>
      </c>
    </row>
    <row r="436">
      <c r="A436" t="inlineStr">
        <is>
          <t>961ade2c3bebd297ed6dca9c60b33791</t>
        </is>
      </c>
      <c r="B436" t="inlineStr">
        <is>
          <t>2024-04-14</t>
        </is>
      </c>
      <c r="C436" t="inlineStr">
        <is>
          <t>F9</t>
        </is>
      </c>
      <c r="D436" t="inlineStr">
        <is>
          <t>FLL</t>
        </is>
      </c>
      <c r="E436" t="inlineStr">
        <is>
          <t>PHL</t>
        </is>
      </c>
      <c r="F436" t="inlineStr">
        <is>
          <t>FLL-PHL</t>
        </is>
      </c>
      <c r="G436" t="n">
        <v>21</v>
      </c>
      <c r="H436" t="n">
        <v>1</v>
      </c>
      <c r="I436" t="n">
        <v>0.99574</v>
      </c>
      <c r="J436" t="n">
        <v>1</v>
      </c>
      <c r="K436" t="n">
        <v>90</v>
      </c>
      <c r="L436" t="inlineStr">
        <is>
          <t>projected turn slack (min)=-40 (+4.04); aircraft's latest known departure delay=90 (+0.87); inbound leg departure delay (if departed by cutoff)=90 (+0.76)</t>
        </is>
      </c>
    </row>
    <row r="437">
      <c r="A437" t="inlineStr">
        <is>
          <t>100caa437f9b7b3e3b0dea84ac56d93c</t>
        </is>
      </c>
      <c r="B437" t="inlineStr">
        <is>
          <t>2024-04-11</t>
        </is>
      </c>
      <c r="C437" t="inlineStr">
        <is>
          <t>AA</t>
        </is>
      </c>
      <c r="D437" t="inlineStr">
        <is>
          <t>PSP</t>
        </is>
      </c>
      <c r="E437" t="inlineStr">
        <is>
          <t>ORD</t>
        </is>
      </c>
      <c r="F437" t="inlineStr">
        <is>
          <t>PSP-ORD</t>
        </is>
      </c>
      <c r="G437" t="n">
        <v>13</v>
      </c>
      <c r="H437" t="n">
        <v>1</v>
      </c>
      <c r="I437" t="n">
        <v>0.99573</v>
      </c>
      <c r="J437" t="n">
        <v>1</v>
      </c>
      <c r="K437" t="n">
        <v>124</v>
      </c>
      <c r="L437" t="inlineStr">
        <is>
          <t>projected turn slack (min)=-68 (+4.06); aircraft's latest known departure delay=124 (+1.00); inbound leg departure delay (if departed by cutoff)=124 (+0.77)</t>
        </is>
      </c>
    </row>
    <row r="438">
      <c r="A438" t="inlineStr">
        <is>
          <t>27094c9b626ad2d3c9812f2b18fefa88</t>
        </is>
      </c>
      <c r="B438" t="inlineStr">
        <is>
          <t>2024-04-18</t>
        </is>
      </c>
      <c r="C438" t="inlineStr">
        <is>
          <t>DL</t>
        </is>
      </c>
      <c r="D438" t="inlineStr">
        <is>
          <t>AUS</t>
        </is>
      </c>
      <c r="E438" t="inlineStr">
        <is>
          <t>JFK</t>
        </is>
      </c>
      <c r="F438" t="inlineStr">
        <is>
          <t>AUS-JFK</t>
        </is>
      </c>
      <c r="G438" t="n">
        <v>18</v>
      </c>
      <c r="H438" t="n">
        <v>1</v>
      </c>
      <c r="I438" t="n">
        <v>0.99572</v>
      </c>
      <c r="J438" t="n">
        <v>1</v>
      </c>
      <c r="K438" t="n">
        <v>136</v>
      </c>
      <c r="L438" t="inlineStr">
        <is>
          <t>projected turn slack (min)=-81 (+4.14); aircraft's latest known departure delay=136 (+0.94); inbound leg departure delay (if departed by cutoff)=136 (+0.83)</t>
        </is>
      </c>
    </row>
    <row r="439">
      <c r="A439" t="inlineStr">
        <is>
          <t>29dbdf8e79ad3eabb2757622a8d8e271</t>
        </is>
      </c>
      <c r="B439" t="inlineStr">
        <is>
          <t>2024-04-26</t>
        </is>
      </c>
      <c r="C439" t="inlineStr">
        <is>
          <t>WN</t>
        </is>
      </c>
      <c r="D439" t="inlineStr">
        <is>
          <t>LAX</t>
        </is>
      </c>
      <c r="E439" t="inlineStr">
        <is>
          <t>SJC</t>
        </is>
      </c>
      <c r="F439" t="inlineStr">
        <is>
          <t>LAX-SJC</t>
        </is>
      </c>
      <c r="G439" t="n">
        <v>20</v>
      </c>
      <c r="H439" t="n">
        <v>1</v>
      </c>
      <c r="I439" t="n">
        <v>0.99572</v>
      </c>
      <c r="J439" t="n">
        <v>1</v>
      </c>
      <c r="K439" t="n">
        <v>101</v>
      </c>
      <c r="L439" t="inlineStr">
        <is>
          <t>projected turn slack (min)=-56 (+3.84); aircraft's latest known departure delay=101 (+0.98); inbound leg departure delay (if departed by cutoff)=101 (+0.86)</t>
        </is>
      </c>
    </row>
    <row r="440">
      <c r="A440" t="inlineStr">
        <is>
          <t>31b48fe8ed67d896fc5ac7583ffc8e60</t>
        </is>
      </c>
      <c r="B440" t="inlineStr">
        <is>
          <t>2024-04-11</t>
        </is>
      </c>
      <c r="C440" t="inlineStr">
        <is>
          <t>UA</t>
        </is>
      </c>
      <c r="D440" t="inlineStr">
        <is>
          <t>MCO</t>
        </is>
      </c>
      <c r="E440" t="inlineStr">
        <is>
          <t>SFO</t>
        </is>
      </c>
      <c r="F440" t="inlineStr">
        <is>
          <t>MCO-SFO</t>
        </is>
      </c>
      <c r="G440" t="n">
        <v>18</v>
      </c>
      <c r="H440" t="n">
        <v>1</v>
      </c>
      <c r="I440" t="n">
        <v>0.99572</v>
      </c>
      <c r="J440" t="n">
        <v>1</v>
      </c>
      <c r="K440" t="n">
        <v>182</v>
      </c>
      <c r="L440" t="inlineStr">
        <is>
          <t>projected turn slack (min)=-109 (+3.07); aircraft's latest known departure delay=182 (+0.67); inbound leg departure delay (if departed by cutoff)=182 (+0.56)</t>
        </is>
      </c>
    </row>
    <row r="441">
      <c r="A441" t="inlineStr">
        <is>
          <t>4aa0be5d987bb4231aa45e8cb00b2547</t>
        </is>
      </c>
      <c r="B441" t="inlineStr">
        <is>
          <t>2024-04-04</t>
        </is>
      </c>
      <c r="C441" t="inlineStr">
        <is>
          <t>NK</t>
        </is>
      </c>
      <c r="D441" t="inlineStr">
        <is>
          <t>MCO</t>
        </is>
      </c>
      <c r="E441" t="inlineStr">
        <is>
          <t>PHL</t>
        </is>
      </c>
      <c r="F441" t="inlineStr">
        <is>
          <t>MCO-PHL</t>
        </is>
      </c>
      <c r="G441" t="n">
        <v>15</v>
      </c>
      <c r="H441" t="n">
        <v>1</v>
      </c>
      <c r="I441" t="n">
        <v>0.99572</v>
      </c>
      <c r="J441" t="n">
        <v>1</v>
      </c>
      <c r="K441" t="n">
        <v>98</v>
      </c>
      <c r="L441" t="inlineStr">
        <is>
          <t>projected turn slack (min)=-44 (+3.81); aircraft's latest known departure delay=98 (+0.75); inbound leg departure delay (if departed by cutoff)=98 (+0.75)</t>
        </is>
      </c>
    </row>
    <row r="442">
      <c r="A442" t="inlineStr">
        <is>
          <t>8d493cc2ba1ffc241ef83460f3325e78</t>
        </is>
      </c>
      <c r="B442" t="inlineStr">
        <is>
          <t>2024-04-17</t>
        </is>
      </c>
      <c r="C442" t="inlineStr">
        <is>
          <t>AS</t>
        </is>
      </c>
      <c r="D442" t="inlineStr">
        <is>
          <t>EWR</t>
        </is>
      </c>
      <c r="E442" t="inlineStr">
        <is>
          <t>LAX</t>
        </is>
      </c>
      <c r="F442" t="inlineStr">
        <is>
          <t>EWR-LAX</t>
        </is>
      </c>
      <c r="G442" t="n">
        <v>16</v>
      </c>
      <c r="H442" t="n">
        <v>1</v>
      </c>
      <c r="I442" t="n">
        <v>0.99572</v>
      </c>
      <c r="J442" t="n">
        <v>1</v>
      </c>
      <c r="K442" t="n">
        <v>106</v>
      </c>
      <c r="L442" t="inlineStr">
        <is>
          <t>projected turn slack (min)=-43 (+4.13); aircraft's latest known departure delay=106 (+0.91); inbound leg departure delay (if departed by cutoff)=106 (+0.82)</t>
        </is>
      </c>
    </row>
    <row r="443">
      <c r="A443" t="inlineStr">
        <is>
          <t>a4625f22149d3b064876fad2a84b0016</t>
        </is>
      </c>
      <c r="B443" t="inlineStr">
        <is>
          <t>2024-04-20</t>
        </is>
      </c>
      <c r="C443" t="inlineStr">
        <is>
          <t>DL</t>
        </is>
      </c>
      <c r="D443" t="inlineStr">
        <is>
          <t>JFK</t>
        </is>
      </c>
      <c r="E443" t="inlineStr">
        <is>
          <t>AUS</t>
        </is>
      </c>
      <c r="F443" t="inlineStr">
        <is>
          <t>JFK-AUS</t>
        </is>
      </c>
      <c r="G443" t="n">
        <v>18</v>
      </c>
      <c r="H443" t="n">
        <v>1</v>
      </c>
      <c r="I443" t="n">
        <v>0.99572</v>
      </c>
      <c r="J443" t="n">
        <v>1</v>
      </c>
      <c r="K443" t="n">
        <v>119</v>
      </c>
      <c r="L443" t="inlineStr">
        <is>
          <t>projected turn slack (min)=-54 (+4.05); aircraft's latest known departure delay=119 (+0.82); inbound leg departure delay (if departed by cutoff)=119 (+0.74)</t>
        </is>
      </c>
    </row>
    <row r="444">
      <c r="A444" t="inlineStr">
        <is>
          <t>c6698f512f2d93fd68e2391ce5ff6035</t>
        </is>
      </c>
      <c r="B444" t="inlineStr">
        <is>
          <t>2024-04-27</t>
        </is>
      </c>
      <c r="C444" t="inlineStr">
        <is>
          <t>WN</t>
        </is>
      </c>
      <c r="D444" t="inlineStr">
        <is>
          <t>LAS</t>
        </is>
      </c>
      <c r="E444" t="inlineStr">
        <is>
          <t>STL</t>
        </is>
      </c>
      <c r="F444" t="inlineStr">
        <is>
          <t>LAS-STL</t>
        </is>
      </c>
      <c r="G444" t="n">
        <v>16</v>
      </c>
      <c r="H444" t="n">
        <v>1</v>
      </c>
      <c r="I444" t="n">
        <v>0.99572</v>
      </c>
      <c r="J444" t="n">
        <v>1</v>
      </c>
      <c r="K444" t="n">
        <v>94</v>
      </c>
      <c r="L444" t="inlineStr">
        <is>
          <t>projected turn slack (min)=-34 (+3.83); aircraft's latest known departure delay=94 (+0.78); inbound leg departure delay (if departed by cutoff)=94 (+0.75)</t>
        </is>
      </c>
    </row>
    <row r="445">
      <c r="A445" t="inlineStr">
        <is>
          <t>cc8b2b40e3d696fe18e32805c4b14382</t>
        </is>
      </c>
      <c r="B445" t="inlineStr">
        <is>
          <t>2024-04-10</t>
        </is>
      </c>
      <c r="C445" t="inlineStr">
        <is>
          <t>AA</t>
        </is>
      </c>
      <c r="D445" t="inlineStr">
        <is>
          <t>DFW</t>
        </is>
      </c>
      <c r="E445" t="inlineStr">
        <is>
          <t>BUR</t>
        </is>
      </c>
      <c r="F445" t="inlineStr">
        <is>
          <t>DFW-BUR</t>
        </is>
      </c>
      <c r="G445" t="n">
        <v>19</v>
      </c>
      <c r="H445" t="n">
        <v>1</v>
      </c>
      <c r="I445" t="n">
        <v>0.99572</v>
      </c>
      <c r="J445" t="n">
        <v>1</v>
      </c>
      <c r="K445" t="n">
        <v>132</v>
      </c>
      <c r="L445" t="inlineStr">
        <is>
          <t>projected turn slack (min)=-51 (+3.70); inbound leg departure delay (if departed by cutoff)=132 (+0.68); aircraft's latest known departure delay=132 (+0.53)</t>
        </is>
      </c>
    </row>
    <row r="446">
      <c r="A446" t="inlineStr">
        <is>
          <t>148efe662404ae6f41058ae2070d1200</t>
        </is>
      </c>
      <c r="B446" t="inlineStr">
        <is>
          <t>2024-04-11</t>
        </is>
      </c>
      <c r="C446" t="inlineStr">
        <is>
          <t>F9</t>
        </is>
      </c>
      <c r="D446" t="inlineStr">
        <is>
          <t>BDL</t>
        </is>
      </c>
      <c r="E446" t="inlineStr">
        <is>
          <t>TPA</t>
        </is>
      </c>
      <c r="F446" t="inlineStr">
        <is>
          <t>BDL-TPA</t>
        </is>
      </c>
      <c r="G446" t="n">
        <v>19</v>
      </c>
      <c r="H446" t="n">
        <v>1</v>
      </c>
      <c r="I446" t="n">
        <v>0.99571</v>
      </c>
      <c r="J446" t="n">
        <v>1</v>
      </c>
      <c r="K446" t="n">
        <v>101</v>
      </c>
      <c r="L446" t="inlineStr">
        <is>
          <t>projected turn slack (min)=-50 (+2.56); aircraft's latest known departure delay=197 (+0.90); inbound leg overdue, not yet departed (min)=101 (+0.74)</t>
        </is>
      </c>
    </row>
    <row r="447">
      <c r="A447" t="inlineStr">
        <is>
          <t>29726fca286d989209c6cac92a3f6c8e</t>
        </is>
      </c>
      <c r="B447" t="inlineStr">
        <is>
          <t>2024-04-21</t>
        </is>
      </c>
      <c r="C447" t="inlineStr">
        <is>
          <t>WN</t>
        </is>
      </c>
      <c r="D447" t="inlineStr">
        <is>
          <t>DEN</t>
        </is>
      </c>
      <c r="E447" t="inlineStr">
        <is>
          <t>SLC</t>
        </is>
      </c>
      <c r="F447" t="inlineStr">
        <is>
          <t>DEN-SLC</t>
        </is>
      </c>
      <c r="G447" t="n">
        <v>21</v>
      </c>
      <c r="H447" t="n">
        <v>1</v>
      </c>
      <c r="I447" t="n">
        <v>0.99571</v>
      </c>
      <c r="J447" t="n">
        <v>1</v>
      </c>
      <c r="K447" t="n">
        <v>95</v>
      </c>
      <c r="L447" t="inlineStr">
        <is>
          <t>projected turn slack (min)=-40 (+3.92); aircraft's latest known departure delay=95 (+0.92); inbound leg departure delay (if departed by cutoff)=95 (+0.80)</t>
        </is>
      </c>
    </row>
    <row r="448">
      <c r="A448" t="inlineStr">
        <is>
          <t>e56e6c5d910a7daa1f7e1e15903a8692</t>
        </is>
      </c>
      <c r="B448" t="inlineStr">
        <is>
          <t>2024-04-12</t>
        </is>
      </c>
      <c r="C448" t="inlineStr">
        <is>
          <t>NK</t>
        </is>
      </c>
      <c r="D448" t="inlineStr">
        <is>
          <t>BOS</t>
        </is>
      </c>
      <c r="E448" t="inlineStr">
        <is>
          <t>IAH</t>
        </is>
      </c>
      <c r="F448" t="inlineStr">
        <is>
          <t>BOS-IAH</t>
        </is>
      </c>
      <c r="G448" t="n">
        <v>21</v>
      </c>
      <c r="H448" t="n">
        <v>1</v>
      </c>
      <c r="I448" t="n">
        <v>0.99571</v>
      </c>
      <c r="J448" t="n">
        <v>1</v>
      </c>
      <c r="K448" t="n">
        <v>94</v>
      </c>
      <c r="L448" t="inlineStr">
        <is>
          <t>projected turn slack (min)=-44 (+3.91); aircraft's latest known departure delay=94 (+0.98); inbound leg departure delay (if departed by cutoff)=94 (+0.80)</t>
        </is>
      </c>
    </row>
    <row r="449">
      <c r="A449" t="inlineStr">
        <is>
          <t>cf397e495d8d2519e2ce74b948584b5f</t>
        </is>
      </c>
      <c r="B449" t="inlineStr">
        <is>
          <t>2024-04-26</t>
        </is>
      </c>
      <c r="C449" t="inlineStr">
        <is>
          <t>WN</t>
        </is>
      </c>
      <c r="D449" t="inlineStr">
        <is>
          <t>MDW</t>
        </is>
      </c>
      <c r="E449" t="inlineStr">
        <is>
          <t>FLL</t>
        </is>
      </c>
      <c r="F449" t="inlineStr">
        <is>
          <t>MDW-FLL</t>
        </is>
      </c>
      <c r="G449" t="n">
        <v>20</v>
      </c>
      <c r="H449" t="n">
        <v>1</v>
      </c>
      <c r="I449" t="n">
        <v>0.9957</v>
      </c>
      <c r="J449" t="n">
        <v>1</v>
      </c>
      <c r="K449" t="n">
        <v>99</v>
      </c>
      <c r="L449" t="inlineStr">
        <is>
          <t>projected turn slack (min)=-44 (+3.80); aircraft's latest known departure delay=99 (+0.93); inbound leg departure delay (if departed by cutoff)=99 (+0.71)</t>
        </is>
      </c>
    </row>
    <row r="450">
      <c r="A450" t="inlineStr">
        <is>
          <t>6d387f784673b8623d7c6f28f730e2dc</t>
        </is>
      </c>
      <c r="B450" t="inlineStr">
        <is>
          <t>2024-04-26</t>
        </is>
      </c>
      <c r="C450" t="inlineStr">
        <is>
          <t>AA</t>
        </is>
      </c>
      <c r="D450" t="inlineStr">
        <is>
          <t>EWR</t>
        </is>
      </c>
      <c r="E450" t="inlineStr">
        <is>
          <t>DFW</t>
        </is>
      </c>
      <c r="F450" t="inlineStr">
        <is>
          <t>EWR-DFW</t>
        </is>
      </c>
      <c r="G450" t="n">
        <v>17</v>
      </c>
      <c r="H450" t="n">
        <v>1</v>
      </c>
      <c r="I450" t="n">
        <v>0.99569</v>
      </c>
      <c r="J450" t="n">
        <v>1</v>
      </c>
      <c r="K450" t="n">
        <v>126</v>
      </c>
      <c r="L450" t="inlineStr">
        <is>
          <t>projected turn slack (min)=-69 (+3.65); aircraft's latest known departure delay=126 (+0.78); inbound leg departure delay (if departed by cutoff)=126 (+0.75)</t>
        </is>
      </c>
    </row>
    <row r="451">
      <c r="A451" t="inlineStr">
        <is>
          <t>6ff1f9381ccc3031907c2054b45f8157</t>
        </is>
      </c>
      <c r="B451" t="inlineStr">
        <is>
          <t>2024-04-12</t>
        </is>
      </c>
      <c r="C451" t="inlineStr">
        <is>
          <t>WN</t>
        </is>
      </c>
      <c r="D451" t="inlineStr">
        <is>
          <t>DEN</t>
        </is>
      </c>
      <c r="E451" t="inlineStr">
        <is>
          <t>SAN</t>
        </is>
      </c>
      <c r="F451" t="inlineStr">
        <is>
          <t>DEN-SAN</t>
        </is>
      </c>
      <c r="G451" t="n">
        <v>21</v>
      </c>
      <c r="H451" t="n">
        <v>1</v>
      </c>
      <c r="I451" t="n">
        <v>0.99569</v>
      </c>
      <c r="J451" t="n">
        <v>1</v>
      </c>
      <c r="K451" t="n">
        <v>83</v>
      </c>
      <c r="L451" t="inlineStr">
        <is>
          <t>projected turn slack (min)=-38 (+3.90); aircraft's latest known departure delay=83 (+0.85); inbound leg departure delay (if departed by cutoff)=83 (+0.81)</t>
        </is>
      </c>
    </row>
    <row r="452">
      <c r="A452" t="inlineStr">
        <is>
          <t>191e6c0aaba786231c2fe7b24a1d5dcf</t>
        </is>
      </c>
      <c r="B452" t="inlineStr">
        <is>
          <t>2024-04-05</t>
        </is>
      </c>
      <c r="C452" t="inlineStr">
        <is>
          <t>UA</t>
        </is>
      </c>
      <c r="D452" t="inlineStr">
        <is>
          <t>RSW</t>
        </is>
      </c>
      <c r="E452" t="inlineStr">
        <is>
          <t>EWR</t>
        </is>
      </c>
      <c r="F452" t="inlineStr">
        <is>
          <t>RSW-EWR</t>
        </is>
      </c>
      <c r="G452" t="n">
        <v>14</v>
      </c>
      <c r="H452" t="n">
        <v>1</v>
      </c>
      <c r="I452" t="n">
        <v>0.99568</v>
      </c>
      <c r="J452" t="n">
        <v>1</v>
      </c>
      <c r="K452" t="n">
        <v>121</v>
      </c>
      <c r="L452" t="inlineStr">
        <is>
          <t>projected turn slack (min)=-59 (+4.02); aircraft's latest known departure delay=121 (+0.91); inbound leg departure delay (if departed by cutoff)=121 (+0.67)</t>
        </is>
      </c>
    </row>
    <row r="453">
      <c r="A453" t="inlineStr">
        <is>
          <t>1f7666cb86217d695ee7d55d9e205dfd</t>
        </is>
      </c>
      <c r="B453" t="inlineStr">
        <is>
          <t>2024-04-28</t>
        </is>
      </c>
      <c r="C453" t="inlineStr">
        <is>
          <t>NK</t>
        </is>
      </c>
      <c r="D453" t="inlineStr">
        <is>
          <t>BOS</t>
        </is>
      </c>
      <c r="E453" t="inlineStr">
        <is>
          <t>IAH</t>
        </is>
      </c>
      <c r="F453" t="inlineStr">
        <is>
          <t>BOS-IAH</t>
        </is>
      </c>
      <c r="G453" t="n">
        <v>21</v>
      </c>
      <c r="H453" t="n">
        <v>1</v>
      </c>
      <c r="I453" t="n">
        <v>0.99568</v>
      </c>
      <c r="J453" t="n">
        <v>1</v>
      </c>
      <c r="K453" t="n">
        <v>130</v>
      </c>
      <c r="L453" t="inlineStr">
        <is>
          <t>projected turn slack (min)=-80 (+3.98); aircraft's latest known departure delay=130 (+0.99); inbound leg departure delay (if departed by cutoff)=130 (+0.77)</t>
        </is>
      </c>
    </row>
    <row r="454">
      <c r="A454" t="inlineStr">
        <is>
          <t>c7ff9aa1e2725f75a61b8af8da700cbe</t>
        </is>
      </c>
      <c r="B454" t="inlineStr">
        <is>
          <t>2024-04-20</t>
        </is>
      </c>
      <c r="C454" t="inlineStr">
        <is>
          <t>WN</t>
        </is>
      </c>
      <c r="D454" t="inlineStr">
        <is>
          <t>TPA</t>
        </is>
      </c>
      <c r="E454" t="inlineStr">
        <is>
          <t>PIT</t>
        </is>
      </c>
      <c r="F454" t="inlineStr">
        <is>
          <t>TPA-PIT</t>
        </is>
      </c>
      <c r="G454" t="n">
        <v>18</v>
      </c>
      <c r="H454" t="n">
        <v>1</v>
      </c>
      <c r="I454" t="n">
        <v>0.99568</v>
      </c>
      <c r="J454" t="n">
        <v>1</v>
      </c>
      <c r="K454" t="n">
        <v>95</v>
      </c>
      <c r="L454" t="inlineStr">
        <is>
          <t>projected turn slack (min)=-50 (+3.88); aircraft's latest known departure delay=95 (+0.99); inbound leg departure delay (if departed by cutoff)=95 (+0.79)</t>
        </is>
      </c>
    </row>
    <row r="455">
      <c r="A455" t="inlineStr">
        <is>
          <t>ca1a1cc9aab86df7174a6e75f0c3833b</t>
        </is>
      </c>
      <c r="B455" t="inlineStr">
        <is>
          <t>2024-04-28</t>
        </is>
      </c>
      <c r="C455" t="inlineStr">
        <is>
          <t>WN</t>
        </is>
      </c>
      <c r="D455" t="inlineStr">
        <is>
          <t>SAN</t>
        </is>
      </c>
      <c r="E455" t="inlineStr">
        <is>
          <t>PHX</t>
        </is>
      </c>
      <c r="F455" t="inlineStr">
        <is>
          <t>SAN-PHX</t>
        </is>
      </c>
      <c r="G455" t="n">
        <v>16</v>
      </c>
      <c r="H455" t="n">
        <v>1</v>
      </c>
      <c r="I455" t="n">
        <v>0.99568</v>
      </c>
      <c r="J455" t="n">
        <v>1</v>
      </c>
      <c r="K455" t="n">
        <v>75</v>
      </c>
      <c r="L455" t="inlineStr">
        <is>
          <t>projected turn slack (min)=-35 (+3.85); aircraft's latest known departure delay=75 (+1.01); inbound leg departure delay (if departed by cutoff)=75 (+0.77)</t>
        </is>
      </c>
    </row>
    <row r="456">
      <c r="A456" t="inlineStr">
        <is>
          <t>d5eacb372921800b013891af73e8727a</t>
        </is>
      </c>
      <c r="B456" t="inlineStr">
        <is>
          <t>2024-04-28</t>
        </is>
      </c>
      <c r="C456" t="inlineStr">
        <is>
          <t>F9</t>
        </is>
      </c>
      <c r="D456" t="inlineStr">
        <is>
          <t>TTN</t>
        </is>
      </c>
      <c r="E456" t="inlineStr">
        <is>
          <t>TPA</t>
        </is>
      </c>
      <c r="F456" t="inlineStr">
        <is>
          <t>TTN-TPA</t>
        </is>
      </c>
      <c r="G456" t="n">
        <v>12</v>
      </c>
      <c r="H456" t="n">
        <v>1</v>
      </c>
      <c r="I456" t="n">
        <v>0.99568</v>
      </c>
      <c r="J456" t="n">
        <v>1</v>
      </c>
      <c r="K456" t="n">
        <v>53</v>
      </c>
      <c r="L456" t="inlineStr">
        <is>
          <t>projected turn slack (min)=-8 (+2.41); aircraft's latest known departure delay=122 (+1.08); inbound leg overdue, not yet departed (min)=53 (+0.87)</t>
        </is>
      </c>
    </row>
    <row r="457">
      <c r="A457" t="inlineStr">
        <is>
          <t>f044607a4fdfa53fd3205b16fe2c32e3</t>
        </is>
      </c>
      <c r="B457" t="inlineStr">
        <is>
          <t>2024-04-04</t>
        </is>
      </c>
      <c r="C457" t="inlineStr">
        <is>
          <t>UA</t>
        </is>
      </c>
      <c r="D457" t="inlineStr">
        <is>
          <t>BOS</t>
        </is>
      </c>
      <c r="E457" t="inlineStr">
        <is>
          <t>SFO</t>
        </is>
      </c>
      <c r="F457" t="inlineStr">
        <is>
          <t>BOS-SFO</t>
        </is>
      </c>
      <c r="G457" t="n">
        <v>17</v>
      </c>
      <c r="H457" t="n">
        <v>1</v>
      </c>
      <c r="I457" t="n">
        <v>0.99568</v>
      </c>
      <c r="J457" t="n">
        <v>1</v>
      </c>
      <c r="K457" t="n">
        <v>101</v>
      </c>
      <c r="L457" t="inlineStr">
        <is>
          <t>projected turn slack (min)=-35 (+3.48); aircraft's latest known departure delay=101 (+0.71); inbound leg departure delay (if departed by cutoff)=101 (+0.58)</t>
        </is>
      </c>
    </row>
    <row r="458">
      <c r="A458" t="inlineStr">
        <is>
          <t>74cf5edb9dda4ef50bdf2ed157b41093</t>
        </is>
      </c>
      <c r="B458" t="inlineStr">
        <is>
          <t>2024-04-28</t>
        </is>
      </c>
      <c r="C458" t="inlineStr">
        <is>
          <t>WN</t>
        </is>
      </c>
      <c r="D458" t="inlineStr">
        <is>
          <t>OMA</t>
        </is>
      </c>
      <c r="E458" t="inlineStr">
        <is>
          <t>DEN</t>
        </is>
      </c>
      <c r="F458" t="inlineStr">
        <is>
          <t>OMA-DEN</t>
        </is>
      </c>
      <c r="G458" t="n">
        <v>16</v>
      </c>
      <c r="H458" t="n">
        <v>1</v>
      </c>
      <c r="I458" t="n">
        <v>0.9956700000000001</v>
      </c>
      <c r="J458" t="n">
        <v>1</v>
      </c>
      <c r="K458" t="n">
        <v>82</v>
      </c>
      <c r="L458" t="inlineStr">
        <is>
          <t>projected turn slack (min)=-37 (+3.76); aircraft's latest known departure delay=82 (+0.89); inbound leg departure delay (if departed by cutoff)=82 (+0.82)</t>
        </is>
      </c>
    </row>
    <row r="459">
      <c r="A459" t="inlineStr">
        <is>
          <t>f3cfb7663748b2204e892600aa1fbcc0</t>
        </is>
      </c>
      <c r="B459" t="inlineStr">
        <is>
          <t>2024-04-28</t>
        </is>
      </c>
      <c r="C459" t="inlineStr">
        <is>
          <t>AS</t>
        </is>
      </c>
      <c r="D459" t="inlineStr">
        <is>
          <t>ANC</t>
        </is>
      </c>
      <c r="E459" t="inlineStr">
        <is>
          <t>SEA</t>
        </is>
      </c>
      <c r="F459" t="inlineStr">
        <is>
          <t>ANC-SEA</t>
        </is>
      </c>
      <c r="G459" t="n">
        <v>2</v>
      </c>
      <c r="H459" t="n">
        <v>1</v>
      </c>
      <c r="I459" t="n">
        <v>0.9956700000000001</v>
      </c>
      <c r="J459" t="n">
        <v>1</v>
      </c>
      <c r="K459" t="n">
        <v>113</v>
      </c>
      <c r="L459" t="inlineStr">
        <is>
          <t>projected turn slack (min)=-76 (+4.11); aircraft's latest known departure delay=113 (+0.99); inbound leg departure delay (if departed by cutoff)=113 (+0.67)</t>
        </is>
      </c>
    </row>
    <row r="460">
      <c r="A460" t="inlineStr">
        <is>
          <t>aa4bcc8b7e8497af3f497f110338a500</t>
        </is>
      </c>
      <c r="B460" t="inlineStr">
        <is>
          <t>2024-04-20</t>
        </is>
      </c>
      <c r="C460" t="inlineStr">
        <is>
          <t>AA</t>
        </is>
      </c>
      <c r="D460" t="inlineStr">
        <is>
          <t>RNO</t>
        </is>
      </c>
      <c r="E460" t="inlineStr">
        <is>
          <t>DFW</t>
        </is>
      </c>
      <c r="F460" t="inlineStr">
        <is>
          <t>RNO-DFW</t>
        </is>
      </c>
      <c r="G460" t="n">
        <v>14</v>
      </c>
      <c r="H460" t="n">
        <v>1</v>
      </c>
      <c r="I460" t="n">
        <v>0.99566</v>
      </c>
      <c r="J460" t="n">
        <v>1</v>
      </c>
      <c r="K460" t="n">
        <v>138</v>
      </c>
      <c r="L460" t="inlineStr">
        <is>
          <t>projected turn slack (min)=-87 (+3.34); aircraft's latest known departure delay=138 (+0.93); inbound leg departure delay (if departed by cutoff)=138 (+0.63)</t>
        </is>
      </c>
    </row>
    <row r="461">
      <c r="A461" t="inlineStr">
        <is>
          <t>b36a7b44cbffa8b636b3e998b1621516</t>
        </is>
      </c>
      <c r="B461" t="inlineStr">
        <is>
          <t>2024-04-11</t>
        </is>
      </c>
      <c r="C461" t="inlineStr">
        <is>
          <t>DL</t>
        </is>
      </c>
      <c r="D461" t="inlineStr">
        <is>
          <t>TPA</t>
        </is>
      </c>
      <c r="E461" t="inlineStr">
        <is>
          <t>RDU</t>
        </is>
      </c>
      <c r="F461" t="inlineStr">
        <is>
          <t>TPA-RDU</t>
        </is>
      </c>
      <c r="G461" t="n">
        <v>20</v>
      </c>
      <c r="H461" t="n">
        <v>1</v>
      </c>
      <c r="I461" t="n">
        <v>0.99566</v>
      </c>
      <c r="J461" t="n">
        <v>1</v>
      </c>
      <c r="K461" t="n">
        <v>50</v>
      </c>
      <c r="L461" t="inlineStr">
        <is>
          <t>projected turn slack (min)=7 (+1.73); aircraft's latest known departure delay=218 (+0.88); inbound leg overdue, not yet departed (min)=50 (+0.80)</t>
        </is>
      </c>
    </row>
    <row r="462">
      <c r="A462" t="inlineStr">
        <is>
          <t>f183bff9a7b95e713eca6c4dd070ddd7</t>
        </is>
      </c>
      <c r="B462" t="inlineStr">
        <is>
          <t>2024-04-05</t>
        </is>
      </c>
      <c r="C462" t="inlineStr">
        <is>
          <t>F9</t>
        </is>
      </c>
      <c r="D462" t="inlineStr">
        <is>
          <t>SFO</t>
        </is>
      </c>
      <c r="E462" t="inlineStr">
        <is>
          <t>DEN</t>
        </is>
      </c>
      <c r="F462" t="inlineStr">
        <is>
          <t>SFO-DEN</t>
        </is>
      </c>
      <c r="G462" t="n">
        <v>0</v>
      </c>
      <c r="H462" t="n">
        <v>1</v>
      </c>
      <c r="I462" t="n">
        <v>0.99566</v>
      </c>
      <c r="J462" t="n">
        <v>1</v>
      </c>
      <c r="K462" t="n">
        <v>101</v>
      </c>
      <c r="L462" t="inlineStr">
        <is>
          <t>projected turn slack (min)=-41 (+3.62); aircraft's latest known departure delay=101 (+0.87); inbound leg departure delay (if departed by cutoff)=101 (+0.57)</t>
        </is>
      </c>
    </row>
    <row r="463">
      <c r="A463" t="inlineStr">
        <is>
          <t>0b92576f107708cc380621d6222fd2f7</t>
        </is>
      </c>
      <c r="B463" t="inlineStr">
        <is>
          <t>2024-04-03</t>
        </is>
      </c>
      <c r="C463" t="inlineStr">
        <is>
          <t>NK</t>
        </is>
      </c>
      <c r="D463" t="inlineStr">
        <is>
          <t>LGA</t>
        </is>
      </c>
      <c r="E463" t="inlineStr">
        <is>
          <t>IAH</t>
        </is>
      </c>
      <c r="F463" t="inlineStr">
        <is>
          <t>LGA-IAH</t>
        </is>
      </c>
      <c r="G463" t="n">
        <v>16</v>
      </c>
      <c r="H463" t="n">
        <v>1</v>
      </c>
      <c r="I463" t="n">
        <v>0.99565</v>
      </c>
      <c r="J463" t="n">
        <v>1</v>
      </c>
      <c r="K463" t="n">
        <v>107</v>
      </c>
      <c r="L463" t="inlineStr">
        <is>
          <t>projected turn slack (min)=-46 (+3.76); aircraft's latest known departure delay=107 (+0.84); inbound leg departure delay (if departed by cutoff)=107 (+0.78)</t>
        </is>
      </c>
    </row>
    <row r="464">
      <c r="A464" t="inlineStr">
        <is>
          <t>7393439cc31c50d994b7ec33abe979c1</t>
        </is>
      </c>
      <c r="B464" t="inlineStr">
        <is>
          <t>2024-04-10</t>
        </is>
      </c>
      <c r="C464" t="inlineStr">
        <is>
          <t>AA</t>
        </is>
      </c>
      <c r="D464" t="inlineStr">
        <is>
          <t>DFW</t>
        </is>
      </c>
      <c r="E464" t="inlineStr">
        <is>
          <t>ATL</t>
        </is>
      </c>
      <c r="F464" t="inlineStr">
        <is>
          <t>DFW-ATL</t>
        </is>
      </c>
      <c r="G464" t="n">
        <v>19</v>
      </c>
      <c r="H464" t="n">
        <v>1</v>
      </c>
      <c r="I464" t="n">
        <v>0.99565</v>
      </c>
      <c r="J464" t="n">
        <v>1</v>
      </c>
      <c r="K464" t="n">
        <v>42</v>
      </c>
      <c r="L464" t="inlineStr">
        <is>
          <t>projected turn slack (min)=-62 (+3.01); share of origin flights overdue=0.8 (+0.47); scheduled turn after inbound leg (min)=-20 (+0.42)</t>
        </is>
      </c>
    </row>
    <row r="465">
      <c r="A465" t="inlineStr">
        <is>
          <t>5673f6f2d2b131746259c8e64b31b841</t>
        </is>
      </c>
      <c r="B465" t="inlineStr">
        <is>
          <t>2024-04-20</t>
        </is>
      </c>
      <c r="C465" t="inlineStr">
        <is>
          <t>WN</t>
        </is>
      </c>
      <c r="D465" t="inlineStr">
        <is>
          <t>SRQ</t>
        </is>
      </c>
      <c r="E465" t="inlineStr">
        <is>
          <t>CMH</t>
        </is>
      </c>
      <c r="F465" t="inlineStr">
        <is>
          <t>SRQ-CMH</t>
        </is>
      </c>
      <c r="G465" t="n">
        <v>18</v>
      </c>
      <c r="H465" t="n">
        <v>1</v>
      </c>
      <c r="I465" t="n">
        <v>0.99564</v>
      </c>
      <c r="J465" t="n">
        <v>1</v>
      </c>
      <c r="K465" t="n">
        <v>60</v>
      </c>
      <c r="L465" t="inlineStr">
        <is>
          <t>projected turn slack (min)=-15 (+2.63); aircraft's latest known departure delay=122 (+1.20); inbound leg overdue, not yet departed (min)=60 (+0.87)</t>
        </is>
      </c>
    </row>
    <row r="466">
      <c r="A466" t="inlineStr">
        <is>
          <t>96799ab73d1b26f351fd17f152e741e1</t>
        </is>
      </c>
      <c r="B466" t="inlineStr">
        <is>
          <t>2024-04-08</t>
        </is>
      </c>
      <c r="C466" t="inlineStr">
        <is>
          <t>UA</t>
        </is>
      </c>
      <c r="D466" t="inlineStr">
        <is>
          <t>LAX</t>
        </is>
      </c>
      <c r="E466" t="inlineStr">
        <is>
          <t>ORD</t>
        </is>
      </c>
      <c r="F466" t="inlineStr">
        <is>
          <t>LAX-ORD</t>
        </is>
      </c>
      <c r="G466" t="n">
        <v>14</v>
      </c>
      <c r="H466" t="n">
        <v>1</v>
      </c>
      <c r="I466" t="n">
        <v>0.99564</v>
      </c>
      <c r="J466" t="n">
        <v>1</v>
      </c>
      <c r="K466" t="n">
        <v>116</v>
      </c>
      <c r="L466" t="inlineStr">
        <is>
          <t>projected turn slack (min)=-49 (+4.41); aircraft's latest known departure delay=116 (+0.88); inbound leg departure delay (if departed by cutoff)=116 (+0.74)</t>
        </is>
      </c>
    </row>
    <row r="467">
      <c r="A467" t="inlineStr">
        <is>
          <t>9bd367ebcad8e77b54d677dfac35e4e8</t>
        </is>
      </c>
      <c r="B467" t="inlineStr">
        <is>
          <t>2024-04-06</t>
        </is>
      </c>
      <c r="C467" t="inlineStr">
        <is>
          <t>B6</t>
        </is>
      </c>
      <c r="D467" t="inlineStr">
        <is>
          <t>MCO</t>
        </is>
      </c>
      <c r="E467" t="inlineStr">
        <is>
          <t>SJU</t>
        </is>
      </c>
      <c r="F467" t="inlineStr">
        <is>
          <t>MCO-SJU</t>
        </is>
      </c>
      <c r="G467" t="n">
        <v>11</v>
      </c>
      <c r="H467" t="n">
        <v>1</v>
      </c>
      <c r="I467" t="n">
        <v>0.99564</v>
      </c>
      <c r="J467" t="n">
        <v>1</v>
      </c>
      <c r="K467" t="n">
        <v>76</v>
      </c>
      <c r="L467" t="inlineStr">
        <is>
          <t>projected turn slack (min)=-31 (+4.15); inbound leg departure delay (if departed by cutoff)=76 (+0.79); aircraft's latest known departure delay=76 (+0.71)</t>
        </is>
      </c>
    </row>
    <row r="468">
      <c r="A468" t="inlineStr">
        <is>
          <t>a0b2d5c14465b3cbf61174b64d763fe7</t>
        </is>
      </c>
      <c r="B468" t="inlineStr">
        <is>
          <t>2024-04-04</t>
        </is>
      </c>
      <c r="C468" t="inlineStr">
        <is>
          <t>B6</t>
        </is>
      </c>
      <c r="D468" t="inlineStr">
        <is>
          <t>MCO</t>
        </is>
      </c>
      <c r="E468" t="inlineStr">
        <is>
          <t>SLC</t>
        </is>
      </c>
      <c r="F468" t="inlineStr">
        <is>
          <t>MCO-SLC</t>
        </is>
      </c>
      <c r="G468" t="n">
        <v>18</v>
      </c>
      <c r="H468" t="n">
        <v>1</v>
      </c>
      <c r="I468" t="n">
        <v>0.99564</v>
      </c>
      <c r="J468" t="n">
        <v>1</v>
      </c>
      <c r="K468" t="n">
        <v>78</v>
      </c>
      <c r="L468" t="inlineStr">
        <is>
          <t>projected turn slack (min)=-28 (+3.84); inbound leg departure delay (if departed by cutoff)=78 (+0.81); aircraft's latest known departure delay=78 (+0.75)</t>
        </is>
      </c>
    </row>
    <row r="469">
      <c r="A469" t="inlineStr">
        <is>
          <t>cc6d93366518e66114c29f4c1d2c3367</t>
        </is>
      </c>
      <c r="B469" t="inlineStr">
        <is>
          <t>2024-04-06</t>
        </is>
      </c>
      <c r="C469" t="inlineStr">
        <is>
          <t>NK</t>
        </is>
      </c>
      <c r="D469" t="inlineStr">
        <is>
          <t>PHX</t>
        </is>
      </c>
      <c r="E469" t="inlineStr">
        <is>
          <t>FLL</t>
        </is>
      </c>
      <c r="F469" t="inlineStr">
        <is>
          <t>PHX-FLL</t>
        </is>
      </c>
      <c r="G469" t="n">
        <v>17</v>
      </c>
      <c r="H469" t="n">
        <v>1</v>
      </c>
      <c r="I469" t="n">
        <v>0.99564</v>
      </c>
      <c r="J469" t="n">
        <v>1</v>
      </c>
      <c r="K469" t="n">
        <v>108</v>
      </c>
      <c r="L469" t="inlineStr">
        <is>
          <t>projected turn slack (min)=-52 (+4.18); aircraft's latest known departure delay=108 (+0.95); inbound leg departure delay (if departed by cutoff)=108 (+0.80)</t>
        </is>
      </c>
    </row>
    <row r="470">
      <c r="A470" t="inlineStr">
        <is>
          <t>57da3a2def50d410f9899e5f654fccec</t>
        </is>
      </c>
      <c r="B470" t="inlineStr">
        <is>
          <t>2024-04-11</t>
        </is>
      </c>
      <c r="C470" t="inlineStr">
        <is>
          <t>WN</t>
        </is>
      </c>
      <c r="D470" t="inlineStr">
        <is>
          <t>ISP</t>
        </is>
      </c>
      <c r="E470" t="inlineStr">
        <is>
          <t>MCO</t>
        </is>
      </c>
      <c r="F470" t="inlineStr">
        <is>
          <t>ISP-MCO</t>
        </is>
      </c>
      <c r="G470" t="n">
        <v>15</v>
      </c>
      <c r="H470" t="n">
        <v>1</v>
      </c>
      <c r="I470" t="n">
        <v>0.99563</v>
      </c>
      <c r="J470" t="n">
        <v>1</v>
      </c>
      <c r="K470" t="n">
        <v>90</v>
      </c>
      <c r="L470" t="inlineStr">
        <is>
          <t>projected turn slack (min)=-45 (+2.49); aircraft's latest known departure delay=128 (+1.09); inbound leg overdue, not yet departed (min)=90 (+0.77)</t>
        </is>
      </c>
    </row>
    <row r="471">
      <c r="A471" t="inlineStr">
        <is>
          <t>62ee88c10d3f03c6266cca58617b87a0</t>
        </is>
      </c>
      <c r="B471" t="inlineStr">
        <is>
          <t>2024-04-25</t>
        </is>
      </c>
      <c r="C471" t="inlineStr">
        <is>
          <t>WN</t>
        </is>
      </c>
      <c r="D471" t="inlineStr">
        <is>
          <t>BWI</t>
        </is>
      </c>
      <c r="E471" t="inlineStr">
        <is>
          <t>CLT</t>
        </is>
      </c>
      <c r="F471" t="inlineStr">
        <is>
          <t>BWI-CLT</t>
        </is>
      </c>
      <c r="G471" t="n">
        <v>20</v>
      </c>
      <c r="H471" t="n">
        <v>1</v>
      </c>
      <c r="I471" t="n">
        <v>0.99563</v>
      </c>
      <c r="J471" t="n">
        <v>1</v>
      </c>
      <c r="K471" t="n">
        <v>84</v>
      </c>
      <c r="L471" t="inlineStr">
        <is>
          <t>projected turn slack (min)=-44 (+3.96); aircraft's latest known departure delay=84 (+1.01); inbound leg departure delay (if departed by cutoff)=84 (+0.85)</t>
        </is>
      </c>
    </row>
    <row r="472">
      <c r="A472" t="inlineStr">
        <is>
          <t>8ee2e6a2b1311257289cdb649f47b3b2</t>
        </is>
      </c>
      <c r="B472" t="inlineStr">
        <is>
          <t>2024-04-26</t>
        </is>
      </c>
      <c r="C472" t="inlineStr">
        <is>
          <t>AA</t>
        </is>
      </c>
      <c r="D472" t="inlineStr">
        <is>
          <t>DFW</t>
        </is>
      </c>
      <c r="E472" t="inlineStr">
        <is>
          <t>AUS</t>
        </is>
      </c>
      <c r="F472" t="inlineStr">
        <is>
          <t>DFW-AUS</t>
        </is>
      </c>
      <c r="G472" t="n">
        <v>20</v>
      </c>
      <c r="H472" t="n">
        <v>1</v>
      </c>
      <c r="I472" t="n">
        <v>0.99563</v>
      </c>
      <c r="J472" t="n">
        <v>1</v>
      </c>
      <c r="K472" t="n">
        <v>100</v>
      </c>
      <c r="L472" t="inlineStr">
        <is>
          <t>projected turn slack (min)=-33 (+3.63); aircraft's latest known departure delay=100 (+0.72); inbound leg departure delay (if departed by cutoff)=100 (+0.70)</t>
        </is>
      </c>
    </row>
    <row r="473">
      <c r="A473" t="inlineStr">
        <is>
          <t>4c7d42f688d123db03394954f873c4e1</t>
        </is>
      </c>
      <c r="B473" t="inlineStr">
        <is>
          <t>2024-04-26</t>
        </is>
      </c>
      <c r="C473" t="inlineStr">
        <is>
          <t>WN</t>
        </is>
      </c>
      <c r="D473" t="inlineStr">
        <is>
          <t>PHX</t>
        </is>
      </c>
      <c r="E473" t="inlineStr">
        <is>
          <t>LAS</t>
        </is>
      </c>
      <c r="F473" t="inlineStr">
        <is>
          <t>PHX-LAS</t>
        </is>
      </c>
      <c r="G473" t="n">
        <v>21</v>
      </c>
      <c r="H473" t="n">
        <v>1</v>
      </c>
      <c r="I473" t="n">
        <v>0.9956199999999999</v>
      </c>
      <c r="J473" t="n">
        <v>1</v>
      </c>
      <c r="K473" t="n">
        <v>103</v>
      </c>
      <c r="L473" t="inlineStr">
        <is>
          <t>projected turn slack (min)=-38 (+3.47); aircraft's latest known departure delay=103 (+0.80); inbound leg departure delay (if departed by cutoff)=103 (+0.73)</t>
        </is>
      </c>
    </row>
    <row r="474">
      <c r="A474" t="inlineStr">
        <is>
          <t>6809050a5c7ff7d53b01b08d9e34c566</t>
        </is>
      </c>
      <c r="B474" t="inlineStr">
        <is>
          <t>2024-04-28</t>
        </is>
      </c>
      <c r="C474" t="inlineStr">
        <is>
          <t>DL</t>
        </is>
      </c>
      <c r="D474" t="inlineStr">
        <is>
          <t>LAX</t>
        </is>
      </c>
      <c r="E474" t="inlineStr">
        <is>
          <t>AUS</t>
        </is>
      </c>
      <c r="F474" t="inlineStr">
        <is>
          <t>LAX-AUS</t>
        </is>
      </c>
      <c r="G474" t="n">
        <v>18</v>
      </c>
      <c r="H474" t="n">
        <v>1</v>
      </c>
      <c r="I474" t="n">
        <v>0.9956199999999999</v>
      </c>
      <c r="J474" t="n">
        <v>1</v>
      </c>
      <c r="K474" t="n">
        <v>105</v>
      </c>
      <c r="L474" t="inlineStr">
        <is>
          <t>projected turn slack (min)=-45 (+3.90); aircraft's latest known departure delay=105 (+0.80); inbound leg departure delay (if departed by cutoff)=105 (+0.78)</t>
        </is>
      </c>
    </row>
    <row r="475">
      <c r="A475" t="inlineStr">
        <is>
          <t>6abd895fe11be751a30624507dabba3e</t>
        </is>
      </c>
      <c r="B475" t="inlineStr">
        <is>
          <t>2024-04-20</t>
        </is>
      </c>
      <c r="C475" t="inlineStr">
        <is>
          <t>F9</t>
        </is>
      </c>
      <c r="D475" t="inlineStr">
        <is>
          <t>SAN</t>
        </is>
      </c>
      <c r="E475" t="inlineStr">
        <is>
          <t>DFW</t>
        </is>
      </c>
      <c r="F475" t="inlineStr">
        <is>
          <t>SAN-DFW</t>
        </is>
      </c>
      <c r="G475" t="n">
        <v>11</v>
      </c>
      <c r="H475" t="n">
        <v>1</v>
      </c>
      <c r="I475" t="n">
        <v>0.9956199999999999</v>
      </c>
      <c r="J475" t="n">
        <v>1</v>
      </c>
      <c r="K475" t="n">
        <v>109</v>
      </c>
      <c r="L475" t="inlineStr">
        <is>
          <t>projected turn slack (min)=-41 (+3.49); aircraft's latest known departure delay=109 (+0.82); inbound leg departure delay (if departed by cutoff)=109 (+0.61)</t>
        </is>
      </c>
    </row>
    <row r="476">
      <c r="A476" t="inlineStr">
        <is>
          <t>b2cbe78de582e7e44f4d0492fdc0d6c6</t>
        </is>
      </c>
      <c r="B476" t="inlineStr">
        <is>
          <t>2024-04-05</t>
        </is>
      </c>
      <c r="C476" t="inlineStr">
        <is>
          <t>B6</t>
        </is>
      </c>
      <c r="D476" t="inlineStr">
        <is>
          <t>FLL</t>
        </is>
      </c>
      <c r="E476" t="inlineStr">
        <is>
          <t>BDL</t>
        </is>
      </c>
      <c r="F476" t="inlineStr">
        <is>
          <t>FLL-BDL</t>
        </is>
      </c>
      <c r="G476" t="n">
        <v>21</v>
      </c>
      <c r="H476" t="n">
        <v>1</v>
      </c>
      <c r="I476" t="n">
        <v>0.9956199999999999</v>
      </c>
      <c r="J476" t="n">
        <v>1</v>
      </c>
      <c r="K476" t="n">
        <v>98</v>
      </c>
      <c r="L476" t="inlineStr">
        <is>
          <t>projected turn slack (min)=-53 (+3.93); aircraft's latest known departure delay=98 (+0.85); inbound leg departure delay (if departed by cutoff)=98 (+0.80)</t>
        </is>
      </c>
    </row>
    <row r="477">
      <c r="A477" t="inlineStr">
        <is>
          <t>ddf6ae4c959b4d7c0cfb0f34b3e2fc21</t>
        </is>
      </c>
      <c r="B477" t="inlineStr">
        <is>
          <t>2024-04-03</t>
        </is>
      </c>
      <c r="C477" t="inlineStr">
        <is>
          <t>DL</t>
        </is>
      </c>
      <c r="D477" t="inlineStr">
        <is>
          <t>TPA</t>
        </is>
      </c>
      <c r="E477" t="inlineStr">
        <is>
          <t>DTW</t>
        </is>
      </c>
      <c r="F477" t="inlineStr">
        <is>
          <t>TPA-DTW</t>
        </is>
      </c>
      <c r="G477" t="n">
        <v>12</v>
      </c>
      <c r="H477" t="n">
        <v>1</v>
      </c>
      <c r="I477" t="n">
        <v>0.9956199999999999</v>
      </c>
      <c r="J477" t="n">
        <v>1</v>
      </c>
      <c r="K477" t="n">
        <v>101</v>
      </c>
      <c r="L477" t="inlineStr">
        <is>
          <t>projected turn slack (min)=-34 (+3.79); aircraft's latest known departure delay=101 (+0.80); inbound leg departure delay (if departed by cutoff)=101 (+0.74)</t>
        </is>
      </c>
    </row>
    <row r="478">
      <c r="A478" t="inlineStr">
        <is>
          <t>deeb027ad3e89adb962ae93eb2940c24</t>
        </is>
      </c>
      <c r="B478" t="inlineStr">
        <is>
          <t>2024-04-04</t>
        </is>
      </c>
      <c r="C478" t="inlineStr">
        <is>
          <t>B6</t>
        </is>
      </c>
      <c r="D478" t="inlineStr">
        <is>
          <t>SLC</t>
        </is>
      </c>
      <c r="E478" t="inlineStr">
        <is>
          <t>BOS</t>
        </is>
      </c>
      <c r="F478" t="inlineStr">
        <is>
          <t>SLC-BOS</t>
        </is>
      </c>
      <c r="G478" t="n">
        <v>22</v>
      </c>
      <c r="H478" t="n">
        <v>1</v>
      </c>
      <c r="I478" t="n">
        <v>0.9956199999999999</v>
      </c>
      <c r="J478" t="n">
        <v>1</v>
      </c>
      <c r="K478" t="n">
        <v>108</v>
      </c>
      <c r="L478" t="inlineStr">
        <is>
          <t>projected turn slack (min)=-58 (+3.84); aircraft's latest known departure delay=108 (+0.84); inbound leg departure delay (if departed by cutoff)=108 (+0.83)</t>
        </is>
      </c>
    </row>
    <row r="479">
      <c r="A479" t="inlineStr">
        <is>
          <t>01e9a435e20893318c631ed5ebb1be9e</t>
        </is>
      </c>
      <c r="B479" t="inlineStr">
        <is>
          <t>2024-04-28</t>
        </is>
      </c>
      <c r="C479" t="inlineStr">
        <is>
          <t>AA</t>
        </is>
      </c>
      <c r="D479" t="inlineStr">
        <is>
          <t>DFW</t>
        </is>
      </c>
      <c r="E479" t="inlineStr">
        <is>
          <t>SAT</t>
        </is>
      </c>
      <c r="F479" t="inlineStr">
        <is>
          <t>DFW-SAT</t>
        </is>
      </c>
      <c r="G479" t="n">
        <v>18</v>
      </c>
      <c r="H479" t="n">
        <v>1</v>
      </c>
      <c r="I479" t="n">
        <v>0.99561</v>
      </c>
      <c r="J479" t="n">
        <v>1</v>
      </c>
      <c r="K479" t="n">
        <v>88</v>
      </c>
      <c r="L479" t="inlineStr">
        <is>
          <t>projected turn slack (min)=-63 (+3.35); inbound leg departure delay (if departed by cutoff)=88 (+0.68); aircraft's latest known departure delay=88 (+0.54)</t>
        </is>
      </c>
    </row>
    <row r="480">
      <c r="A480" t="inlineStr">
        <is>
          <t>35ad8ebe4c87a259eb192ea9dff5ed66</t>
        </is>
      </c>
      <c r="B480" t="inlineStr">
        <is>
          <t>2024-04-12</t>
        </is>
      </c>
      <c r="C480" t="inlineStr">
        <is>
          <t>B6</t>
        </is>
      </c>
      <c r="D480" t="inlineStr">
        <is>
          <t>ABQ</t>
        </is>
      </c>
      <c r="E480" t="inlineStr">
        <is>
          <t>JFK</t>
        </is>
      </c>
      <c r="F480" t="inlineStr">
        <is>
          <t>ABQ-JFK</t>
        </is>
      </c>
      <c r="G480" t="n">
        <v>23</v>
      </c>
      <c r="H480" t="n">
        <v>1</v>
      </c>
      <c r="I480" t="n">
        <v>0.99561</v>
      </c>
      <c r="J480" t="n">
        <v>1</v>
      </c>
      <c r="K480" t="n">
        <v>175</v>
      </c>
      <c r="L480" t="inlineStr">
        <is>
          <t>projected turn slack (min)=-120 (+3.56); aircraft's latest known departure delay=175 (+1.06); inbound leg departure delay (if departed by cutoff)=175 (+0.66)</t>
        </is>
      </c>
    </row>
    <row r="481">
      <c r="A481" t="inlineStr">
        <is>
          <t>40f84c82cdd515188fba2551b89e1879</t>
        </is>
      </c>
      <c r="B481" t="inlineStr">
        <is>
          <t>2024-04-18</t>
        </is>
      </c>
      <c r="C481" t="inlineStr">
        <is>
          <t>UA</t>
        </is>
      </c>
      <c r="D481" t="inlineStr">
        <is>
          <t>SAT</t>
        </is>
      </c>
      <c r="E481" t="inlineStr">
        <is>
          <t>DEN</t>
        </is>
      </c>
      <c r="F481" t="inlineStr">
        <is>
          <t>SAT-DEN</t>
        </is>
      </c>
      <c r="G481" t="n">
        <v>16</v>
      </c>
      <c r="H481" t="n">
        <v>1</v>
      </c>
      <c r="I481" t="n">
        <v>0.99561</v>
      </c>
      <c r="J481" t="n">
        <v>1</v>
      </c>
      <c r="K481" t="n">
        <v>119</v>
      </c>
      <c r="L481" t="inlineStr">
        <is>
          <t>projected turn slack (min)=-50 (+3.88); aircraft's latest known departure delay=119 (+0.90); inbound leg departure delay (if departed by cutoff)=119 (+0.72)</t>
        </is>
      </c>
    </row>
    <row r="482">
      <c r="A482" t="inlineStr">
        <is>
          <t>873c82d25b3d4b00ba279208857c06c2</t>
        </is>
      </c>
      <c r="B482" t="inlineStr">
        <is>
          <t>2024-04-12</t>
        </is>
      </c>
      <c r="C482" t="inlineStr">
        <is>
          <t>AA</t>
        </is>
      </c>
      <c r="D482" t="inlineStr">
        <is>
          <t>SRQ</t>
        </is>
      </c>
      <c r="E482" t="inlineStr">
        <is>
          <t>ORD</t>
        </is>
      </c>
      <c r="F482" t="inlineStr">
        <is>
          <t>SRQ-ORD</t>
        </is>
      </c>
      <c r="G482" t="n">
        <v>16</v>
      </c>
      <c r="H482" t="n">
        <v>1</v>
      </c>
      <c r="I482" t="n">
        <v>0.99561</v>
      </c>
      <c r="J482" t="n">
        <v>1</v>
      </c>
      <c r="K482" t="n">
        <v>81</v>
      </c>
      <c r="L482" t="inlineStr">
        <is>
          <t>projected turn slack (min)=-30 (+4.03); inbound leg departure delay (if departed by cutoff)=81 (+0.83); aircraft's latest known departure delay=81 (+0.83)</t>
        </is>
      </c>
    </row>
    <row r="483">
      <c r="A483" t="inlineStr">
        <is>
          <t>352c253b1ef2ea9c8d88f93970eef8ae</t>
        </is>
      </c>
      <c r="B483" t="inlineStr">
        <is>
          <t>2024-04-03</t>
        </is>
      </c>
      <c r="C483" t="inlineStr">
        <is>
          <t>F9</t>
        </is>
      </c>
      <c r="D483" t="inlineStr">
        <is>
          <t>PBI</t>
        </is>
      </c>
      <c r="E483" t="inlineStr">
        <is>
          <t>PHL</t>
        </is>
      </c>
      <c r="F483" t="inlineStr">
        <is>
          <t>PBI-PHL</t>
        </is>
      </c>
      <c r="G483" t="n">
        <v>21</v>
      </c>
      <c r="H483" t="n">
        <v>1</v>
      </c>
      <c r="I483" t="n">
        <v>0.99559</v>
      </c>
      <c r="J483" t="n">
        <v>1</v>
      </c>
      <c r="K483" t="n">
        <v>82</v>
      </c>
      <c r="L483" t="inlineStr">
        <is>
          <t>projected turn slack (min)=-32 (+3.49); inbound leg departure delay (if departed by cutoff)=82 (+0.74); aircraft's latest known departure delay=82 (+0.72)</t>
        </is>
      </c>
    </row>
    <row r="484">
      <c r="A484" t="inlineStr">
        <is>
          <t>debd28e09968ad02a8f71eb97427144d</t>
        </is>
      </c>
      <c r="B484" t="inlineStr">
        <is>
          <t>2024-04-12</t>
        </is>
      </c>
      <c r="C484" t="inlineStr">
        <is>
          <t>AA</t>
        </is>
      </c>
      <c r="D484" t="inlineStr">
        <is>
          <t>SFO</t>
        </is>
      </c>
      <c r="E484" t="inlineStr">
        <is>
          <t>CLT</t>
        </is>
      </c>
      <c r="F484" t="inlineStr">
        <is>
          <t>SFO-CLT</t>
        </is>
      </c>
      <c r="G484" t="n">
        <v>13</v>
      </c>
      <c r="H484" t="n">
        <v>1</v>
      </c>
      <c r="I484" t="n">
        <v>0.99559</v>
      </c>
      <c r="J484" t="n">
        <v>1</v>
      </c>
      <c r="K484" t="n">
        <v>146</v>
      </c>
      <c r="L484" t="inlineStr">
        <is>
          <t>projected turn slack (min)=-86 (+3.44); aircraft's latest known departure delay=146 (+0.96); inbound leg departure delay (if departed by cutoff)=146 (+0.72)</t>
        </is>
      </c>
    </row>
    <row r="485">
      <c r="A485" t="inlineStr">
        <is>
          <t>fa17d262a2b5c176368da7c5b31ddcae</t>
        </is>
      </c>
      <c r="B485" t="inlineStr">
        <is>
          <t>2024-04-26</t>
        </is>
      </c>
      <c r="C485" t="inlineStr">
        <is>
          <t>AA</t>
        </is>
      </c>
      <c r="D485" t="inlineStr">
        <is>
          <t>SRQ</t>
        </is>
      </c>
      <c r="E485" t="inlineStr">
        <is>
          <t>DFW</t>
        </is>
      </c>
      <c r="F485" t="inlineStr">
        <is>
          <t>SRQ-DFW</t>
        </is>
      </c>
      <c r="G485" t="n">
        <v>16</v>
      </c>
      <c r="H485" t="n">
        <v>1</v>
      </c>
      <c r="I485" t="n">
        <v>0.99559</v>
      </c>
      <c r="J485" t="n">
        <v>1</v>
      </c>
      <c r="K485" t="n">
        <v>80</v>
      </c>
      <c r="L485" t="inlineStr">
        <is>
          <t>projected turn slack (min)=-30 (+2.77); aircraft's latest known departure delay=128 (+0.96); inbound leg overdue, not yet departed (min)=80 (+0.84)</t>
        </is>
      </c>
    </row>
    <row r="486">
      <c r="A486" t="inlineStr">
        <is>
          <t>0ae506c52365827a289a607136c5c1b5</t>
        </is>
      </c>
      <c r="B486" t="inlineStr">
        <is>
          <t>2024-04-12</t>
        </is>
      </c>
      <c r="C486" t="inlineStr">
        <is>
          <t>B6</t>
        </is>
      </c>
      <c r="D486" t="inlineStr">
        <is>
          <t>MCO</t>
        </is>
      </c>
      <c r="E486" t="inlineStr">
        <is>
          <t>BOS</t>
        </is>
      </c>
      <c r="F486" t="inlineStr">
        <is>
          <t>MCO-BOS</t>
        </is>
      </c>
      <c r="G486" t="n">
        <v>17</v>
      </c>
      <c r="H486" t="n">
        <v>1</v>
      </c>
      <c r="I486" t="n">
        <v>0.99558</v>
      </c>
      <c r="J486" t="n">
        <v>1</v>
      </c>
      <c r="K486" t="n">
        <v>117</v>
      </c>
      <c r="L486" t="inlineStr">
        <is>
          <t>projected turn slack (min)=-47 (+3.80); aircraft's latest known departure delay=117 (+0.77); inbound leg departure delay (if departed by cutoff)=117 (+0.70)</t>
        </is>
      </c>
    </row>
    <row r="487">
      <c r="A487" t="inlineStr">
        <is>
          <t>69c2e33c5fc5e7d15d044b066ca869e6</t>
        </is>
      </c>
      <c r="B487" t="inlineStr">
        <is>
          <t>2024-04-11</t>
        </is>
      </c>
      <c r="C487" t="inlineStr">
        <is>
          <t>F9</t>
        </is>
      </c>
      <c r="D487" t="inlineStr">
        <is>
          <t>TPA</t>
        </is>
      </c>
      <c r="E487" t="inlineStr">
        <is>
          <t>BWI</t>
        </is>
      </c>
      <c r="F487" t="inlineStr">
        <is>
          <t>TPA-BWI</t>
        </is>
      </c>
      <c r="G487" t="n">
        <v>18</v>
      </c>
      <c r="H487" t="n">
        <v>1</v>
      </c>
      <c r="I487" t="n">
        <v>0.99558</v>
      </c>
      <c r="J487" t="n">
        <v>1</v>
      </c>
      <c r="K487" t="n">
        <v>80</v>
      </c>
      <c r="L487" t="inlineStr">
        <is>
          <t>projected turn slack (min)=-30 (+2.50); inbound leg overdue, not yet departed (min)=80 (+0.75); aircraft's latest known departure delay=103 (+0.70)</t>
        </is>
      </c>
    </row>
    <row r="488">
      <c r="A488" t="inlineStr">
        <is>
          <t>9966c8386663be4e58975db2e5a2468f</t>
        </is>
      </c>
      <c r="B488" t="inlineStr">
        <is>
          <t>2024-04-15</t>
        </is>
      </c>
      <c r="C488" t="inlineStr">
        <is>
          <t>UA</t>
        </is>
      </c>
      <c r="D488" t="inlineStr">
        <is>
          <t>DFW</t>
        </is>
      </c>
      <c r="E488" t="inlineStr">
        <is>
          <t>SFO</t>
        </is>
      </c>
      <c r="F488" t="inlineStr">
        <is>
          <t>DFW-SFO</t>
        </is>
      </c>
      <c r="G488" t="n">
        <v>19</v>
      </c>
      <c r="H488" t="n">
        <v>1</v>
      </c>
      <c r="I488" t="n">
        <v>0.99558</v>
      </c>
      <c r="J488" t="n">
        <v>1</v>
      </c>
      <c r="K488" t="n">
        <v>93</v>
      </c>
      <c r="L488" t="inlineStr">
        <is>
          <t>projected turn slack (min)=-29 (+3.86); aircraft's latest known departure delay=93 (+0.67); inbound leg departure delay (if departed by cutoff)=93 (+0.65)</t>
        </is>
      </c>
    </row>
    <row r="489">
      <c r="A489" t="inlineStr">
        <is>
          <t>cf09a761eb156ced619ef86cbd843169</t>
        </is>
      </c>
      <c r="B489" t="inlineStr">
        <is>
          <t>2024-04-19</t>
        </is>
      </c>
      <c r="C489" t="inlineStr">
        <is>
          <t>NK</t>
        </is>
      </c>
      <c r="D489" t="inlineStr">
        <is>
          <t>TPA</t>
        </is>
      </c>
      <c r="E489" t="inlineStr">
        <is>
          <t>ORD</t>
        </is>
      </c>
      <c r="F489" t="inlineStr">
        <is>
          <t>TPA-ORD</t>
        </is>
      </c>
      <c r="G489" t="n">
        <v>13</v>
      </c>
      <c r="H489" t="n">
        <v>1</v>
      </c>
      <c r="I489" t="n">
        <v>0.99558</v>
      </c>
      <c r="J489" t="n">
        <v>1</v>
      </c>
      <c r="K489" t="n">
        <v>86</v>
      </c>
      <c r="L489" t="inlineStr">
        <is>
          <t>projected turn slack (min)=-36 (+4.06); inbound leg departure delay (if departed by cutoff)=86 (+0.81); aircraft's latest known departure delay=86 (+0.72)</t>
        </is>
      </c>
    </row>
    <row r="490">
      <c r="A490" t="inlineStr">
        <is>
          <t>fff82c7b307f9bcc1a8dabb97ff702ac</t>
        </is>
      </c>
      <c r="B490" t="inlineStr">
        <is>
          <t>2024-04-26</t>
        </is>
      </c>
      <c r="C490" t="inlineStr">
        <is>
          <t>WN</t>
        </is>
      </c>
      <c r="D490" t="inlineStr">
        <is>
          <t>LAS</t>
        </is>
      </c>
      <c r="E490" t="inlineStr">
        <is>
          <t>OAK</t>
        </is>
      </c>
      <c r="F490" t="inlineStr">
        <is>
          <t>LAS-OAK</t>
        </is>
      </c>
      <c r="G490" t="n">
        <v>18</v>
      </c>
      <c r="H490" t="n">
        <v>1</v>
      </c>
      <c r="I490" t="n">
        <v>0.99558</v>
      </c>
      <c r="J490" t="n">
        <v>1</v>
      </c>
      <c r="K490" t="n">
        <v>50</v>
      </c>
      <c r="L490" t="inlineStr">
        <is>
          <t>projected turn slack (min)=-10 (+2.26); aircraft's latest known departure delay=210 (+0.82); inbound leg overdue, not yet departed (min)=50 (+0.71)</t>
        </is>
      </c>
    </row>
    <row r="491">
      <c r="A491" t="inlineStr">
        <is>
          <t>0870209a6e04cd15e741a2ede3876d19</t>
        </is>
      </c>
      <c r="B491" t="inlineStr">
        <is>
          <t>2024-04-11</t>
        </is>
      </c>
      <c r="C491" t="inlineStr">
        <is>
          <t>DL</t>
        </is>
      </c>
      <c r="D491" t="inlineStr">
        <is>
          <t>LAX</t>
        </is>
      </c>
      <c r="E491" t="inlineStr">
        <is>
          <t>AUS</t>
        </is>
      </c>
      <c r="F491" t="inlineStr">
        <is>
          <t>LAX-AUS</t>
        </is>
      </c>
      <c r="G491" t="n">
        <v>18</v>
      </c>
      <c r="H491" t="n">
        <v>1</v>
      </c>
      <c r="I491" t="n">
        <v>0.99557</v>
      </c>
      <c r="J491" t="n">
        <v>1</v>
      </c>
      <c r="K491" t="n">
        <v>140</v>
      </c>
      <c r="L491" t="inlineStr">
        <is>
          <t>projected turn slack (min)=-80 (+4.10); aircraft's latest known departure delay=140 (+1.02); inbound leg departure delay (if departed by cutoff)=140 (+0.84)</t>
        </is>
      </c>
    </row>
    <row r="492">
      <c r="A492" t="inlineStr">
        <is>
          <t>294a838b9bbb6e1cf33fe4e59b4d7df8</t>
        </is>
      </c>
      <c r="B492" t="inlineStr">
        <is>
          <t>2024-04-11</t>
        </is>
      </c>
      <c r="C492" t="inlineStr">
        <is>
          <t>B6</t>
        </is>
      </c>
      <c r="D492" t="inlineStr">
        <is>
          <t>PBI</t>
        </is>
      </c>
      <c r="E492" t="inlineStr">
        <is>
          <t>LGA</t>
        </is>
      </c>
      <c r="F492" t="inlineStr">
        <is>
          <t>PBI-LGA</t>
        </is>
      </c>
      <c r="G492" t="n">
        <v>20</v>
      </c>
      <c r="H492" t="n">
        <v>1</v>
      </c>
      <c r="I492" t="n">
        <v>0.99557</v>
      </c>
      <c r="J492" t="n">
        <v>1</v>
      </c>
      <c r="K492" t="n">
        <v>101</v>
      </c>
      <c r="L492" t="inlineStr">
        <is>
          <t>projected turn slack (min)=-46 (+3.46); aircraft's latest known departure delay=101 (+0.80); inbound leg departure delay (if departed by cutoff)=101 (+0.71)</t>
        </is>
      </c>
    </row>
    <row r="493">
      <c r="A493" t="inlineStr">
        <is>
          <t>4e406234d4dc0e29a6da6edc6325adcd</t>
        </is>
      </c>
      <c r="B493" t="inlineStr">
        <is>
          <t>2024-04-12</t>
        </is>
      </c>
      <c r="C493" t="inlineStr">
        <is>
          <t>UA</t>
        </is>
      </c>
      <c r="D493" t="inlineStr">
        <is>
          <t>IAD</t>
        </is>
      </c>
      <c r="E493" t="inlineStr">
        <is>
          <t>SFO</t>
        </is>
      </c>
      <c r="F493" t="inlineStr">
        <is>
          <t>IAD-SFO</t>
        </is>
      </c>
      <c r="G493" t="n">
        <v>14</v>
      </c>
      <c r="H493" t="n">
        <v>1</v>
      </c>
      <c r="I493" t="n">
        <v>0.99557</v>
      </c>
      <c r="J493" t="n">
        <v>1</v>
      </c>
      <c r="K493" t="n">
        <v>143</v>
      </c>
      <c r="L493" t="inlineStr">
        <is>
          <t>projected turn slack (min)=-76 (+4.05); aircraft's latest known departure delay=143 (+0.96); inbound leg departure delay (if departed by cutoff)=143 (+0.69)</t>
        </is>
      </c>
    </row>
    <row r="494">
      <c r="A494" t="inlineStr">
        <is>
          <t>f8a42ad4aa5fa485bfc12fdc51714610</t>
        </is>
      </c>
      <c r="B494" t="inlineStr">
        <is>
          <t>2024-04-04</t>
        </is>
      </c>
      <c r="C494" t="inlineStr">
        <is>
          <t>B6</t>
        </is>
      </c>
      <c r="D494" t="inlineStr">
        <is>
          <t>FLL</t>
        </is>
      </c>
      <c r="E494" t="inlineStr">
        <is>
          <t>JFK</t>
        </is>
      </c>
      <c r="F494" t="inlineStr">
        <is>
          <t>FLL-JFK</t>
        </is>
      </c>
      <c r="G494" t="n">
        <v>21</v>
      </c>
      <c r="H494" t="n">
        <v>1</v>
      </c>
      <c r="I494" t="n">
        <v>0.99557</v>
      </c>
      <c r="J494" t="n">
        <v>1</v>
      </c>
      <c r="K494" t="n">
        <v>123</v>
      </c>
      <c r="L494" t="inlineStr">
        <is>
          <t>projected turn slack (min)=-63 (+3.87); aircraft's latest known departure delay=123 (+0.88); inbound leg departure delay (if departed by cutoff)=123 (+0.77)</t>
        </is>
      </c>
    </row>
    <row r="495">
      <c r="A495" t="inlineStr">
        <is>
          <t>45a975d85fb2bf52049c66787b6b27b2</t>
        </is>
      </c>
      <c r="B495" t="inlineStr">
        <is>
          <t>2024-04-20</t>
        </is>
      </c>
      <c r="C495" t="inlineStr">
        <is>
          <t>AA</t>
        </is>
      </c>
      <c r="D495" t="inlineStr">
        <is>
          <t>DFW</t>
        </is>
      </c>
      <c r="E495" t="inlineStr">
        <is>
          <t>MFE</t>
        </is>
      </c>
      <c r="F495" t="inlineStr">
        <is>
          <t>DFW-MFE</t>
        </is>
      </c>
      <c r="G495" t="n">
        <v>17</v>
      </c>
      <c r="H495" t="n">
        <v>1</v>
      </c>
      <c r="I495" t="n">
        <v>0.99556</v>
      </c>
      <c r="J495" t="n">
        <v>1</v>
      </c>
      <c r="K495" t="n">
        <v>155</v>
      </c>
      <c r="L495" t="inlineStr">
        <is>
          <t>projected turn slack (min)=-84 (+2.95); inbound leg departure delay (if departed by cutoff)=155 (+0.63); aircraft's latest known departure delay=155 (+0.63)</t>
        </is>
      </c>
    </row>
    <row r="496">
      <c r="A496" t="inlineStr">
        <is>
          <t>30109258be79c19284542c49eb97022a</t>
        </is>
      </c>
      <c r="B496" t="inlineStr">
        <is>
          <t>2024-04-26</t>
        </is>
      </c>
      <c r="C496" t="inlineStr">
        <is>
          <t>F9</t>
        </is>
      </c>
      <c r="D496" t="inlineStr">
        <is>
          <t>IAH</t>
        </is>
      </c>
      <c r="E496" t="inlineStr">
        <is>
          <t>LAS</t>
        </is>
      </c>
      <c r="F496" t="inlineStr">
        <is>
          <t>IAH-LAS</t>
        </is>
      </c>
      <c r="G496" t="n">
        <v>22</v>
      </c>
      <c r="H496" t="n">
        <v>1</v>
      </c>
      <c r="I496" t="n">
        <v>0.99555</v>
      </c>
      <c r="J496" t="n">
        <v>1</v>
      </c>
      <c r="K496" t="n">
        <v>108</v>
      </c>
      <c r="L496" t="inlineStr">
        <is>
          <t>projected turn slack (min)=-58 (+3.60); aircraft's latest known departure delay=108 (+0.87); inbound leg departure delay (if departed by cutoff)=108 (+0.66)</t>
        </is>
      </c>
    </row>
    <row r="497">
      <c r="A497" t="inlineStr">
        <is>
          <t>67bab6332435232c7707e7d6655f182f</t>
        </is>
      </c>
      <c r="B497" t="inlineStr">
        <is>
          <t>2024-04-10</t>
        </is>
      </c>
      <c r="C497" t="inlineStr">
        <is>
          <t>AA</t>
        </is>
      </c>
      <c r="D497" t="inlineStr">
        <is>
          <t>RSW</t>
        </is>
      </c>
      <c r="E497" t="inlineStr">
        <is>
          <t>ORD</t>
        </is>
      </c>
      <c r="F497" t="inlineStr">
        <is>
          <t>RSW-ORD</t>
        </is>
      </c>
      <c r="G497" t="n">
        <v>16</v>
      </c>
      <c r="H497" t="n">
        <v>1</v>
      </c>
      <c r="I497" t="n">
        <v>0.99555</v>
      </c>
      <c r="J497" t="n">
        <v>1</v>
      </c>
      <c r="K497" t="n">
        <v>81</v>
      </c>
      <c r="L497" t="inlineStr">
        <is>
          <t>projected turn slack (min)=-31 (+4.00); inbound leg departure delay (if departed by cutoff)=81 (+0.80); aircraft's latest known departure delay=81 (+0.79)</t>
        </is>
      </c>
    </row>
    <row r="498">
      <c r="A498" t="inlineStr">
        <is>
          <t>de2b7d0209ebd6ce0dca9047d5b716c7</t>
        </is>
      </c>
      <c r="B498" t="inlineStr">
        <is>
          <t>2024-04-04</t>
        </is>
      </c>
      <c r="C498" t="inlineStr">
        <is>
          <t>B6</t>
        </is>
      </c>
      <c r="D498" t="inlineStr">
        <is>
          <t>SLC</t>
        </is>
      </c>
      <c r="E498" t="inlineStr">
        <is>
          <t>JFK</t>
        </is>
      </c>
      <c r="F498" t="inlineStr">
        <is>
          <t>SLC-JFK</t>
        </is>
      </c>
      <c r="G498" t="n">
        <v>23</v>
      </c>
      <c r="H498" t="n">
        <v>1</v>
      </c>
      <c r="I498" t="n">
        <v>0.99555</v>
      </c>
      <c r="J498" t="n">
        <v>1</v>
      </c>
      <c r="K498" t="n">
        <v>189</v>
      </c>
      <c r="L498" t="inlineStr">
        <is>
          <t>projected turn slack (min)=-139 (+3.59); aircraft's latest known departure delay=189 (+1.02); inbound leg departure delay (if departed by cutoff)=189 (+0.73)</t>
        </is>
      </c>
    </row>
    <row r="499">
      <c r="A499" t="inlineStr">
        <is>
          <t>94cf9dfcc12fe233cc76b0659ba34307</t>
        </is>
      </c>
      <c r="B499" t="inlineStr">
        <is>
          <t>2024-04-28</t>
        </is>
      </c>
      <c r="C499" t="inlineStr">
        <is>
          <t>WN</t>
        </is>
      </c>
      <c r="D499" t="inlineStr">
        <is>
          <t>PHX</t>
        </is>
      </c>
      <c r="E499" t="inlineStr">
        <is>
          <t>DEN</t>
        </is>
      </c>
      <c r="F499" t="inlineStr">
        <is>
          <t>PHX-DEN</t>
        </is>
      </c>
      <c r="G499" t="n">
        <v>14</v>
      </c>
      <c r="H499" t="n">
        <v>1</v>
      </c>
      <c r="I499" t="n">
        <v>0.99554</v>
      </c>
      <c r="J499" t="n">
        <v>1</v>
      </c>
      <c r="K499" t="n">
        <v>73</v>
      </c>
      <c r="L499" t="inlineStr">
        <is>
          <t>projected turn slack (min)=-28 (+3.92); inbound leg departure delay (if departed by cutoff)=73 (+0.86); aircraft's latest known departure delay=73 (+0.82)</t>
        </is>
      </c>
    </row>
    <row r="500">
      <c r="A500" t="inlineStr">
        <is>
          <t>0800b4f921beedf44f11c963a22e88cf</t>
        </is>
      </c>
      <c r="B500" t="inlineStr">
        <is>
          <t>2024-04-22</t>
        </is>
      </c>
      <c r="C500" t="inlineStr">
        <is>
          <t>DL</t>
        </is>
      </c>
      <c r="D500" t="inlineStr">
        <is>
          <t>RSW</t>
        </is>
      </c>
      <c r="E500" t="inlineStr">
        <is>
          <t>LGA</t>
        </is>
      </c>
      <c r="F500" t="inlineStr">
        <is>
          <t>RSW-LGA</t>
        </is>
      </c>
      <c r="G500" t="n">
        <v>16</v>
      </c>
      <c r="H500" t="n">
        <v>1</v>
      </c>
      <c r="I500" t="n">
        <v>0.99553</v>
      </c>
      <c r="J500" t="n">
        <v>1</v>
      </c>
      <c r="K500" t="n">
        <v>120</v>
      </c>
      <c r="L500" t="inlineStr">
        <is>
          <t>projected turn slack (min)=-54 (+4.25); aircraft's latest known departure delay=120 (+0.97); inbound leg departure delay (if departed by cutoff)=120 (+0.80)</t>
        </is>
      </c>
    </row>
    <row r="501">
      <c r="A501" t="inlineStr">
        <is>
          <t>3c09828095fca21f4cc8030055aac62f</t>
        </is>
      </c>
      <c r="B501" t="inlineStr">
        <is>
          <t>2024-04-01</t>
        </is>
      </c>
      <c r="C501" t="inlineStr">
        <is>
          <t>F9</t>
        </is>
      </c>
      <c r="D501" t="inlineStr">
        <is>
          <t>SRQ</t>
        </is>
      </c>
      <c r="E501" t="inlineStr">
        <is>
          <t>CLE</t>
        </is>
      </c>
      <c r="F501" t="inlineStr">
        <is>
          <t>SRQ-CLE</t>
        </is>
      </c>
      <c r="G501" t="n">
        <v>16</v>
      </c>
      <c r="H501" t="n">
        <v>1</v>
      </c>
      <c r="I501" t="n">
        <v>0.99553</v>
      </c>
      <c r="J501" t="n">
        <v>1</v>
      </c>
      <c r="K501" t="n">
        <v>93</v>
      </c>
      <c r="L501" t="inlineStr">
        <is>
          <t>projected turn slack (min)=-43 (+3.98); aircraft's latest known departure delay=93 (+0.89); inbound leg departure delay (if departed by cutoff)=93 (+0.75)</t>
        </is>
      </c>
    </row>
    <row r="502">
      <c r="A502" t="inlineStr">
        <is>
          <t>e7558edd6a0c114ccf41e790053520ef</t>
        </is>
      </c>
      <c r="B502" t="inlineStr">
        <is>
          <t>2024-04-20</t>
        </is>
      </c>
      <c r="C502" t="inlineStr">
        <is>
          <t>DL</t>
        </is>
      </c>
      <c r="D502" t="inlineStr">
        <is>
          <t>RSW</t>
        </is>
      </c>
      <c r="E502" t="inlineStr">
        <is>
          <t>BOS</t>
        </is>
      </c>
      <c r="F502" t="inlineStr">
        <is>
          <t>RSW-BOS</t>
        </is>
      </c>
      <c r="G502" t="n">
        <v>12</v>
      </c>
      <c r="H502" t="n">
        <v>1</v>
      </c>
      <c r="I502" t="n">
        <v>0.99553</v>
      </c>
      <c r="J502" t="n">
        <v>1</v>
      </c>
      <c r="K502" t="n">
        <v>107</v>
      </c>
      <c r="L502" t="inlineStr">
        <is>
          <t>projected turn slack (min)=-42 (+4.23); aircraft's latest known departure delay=107 (+0.93); inbound leg departure delay (if departed by cutoff)=107 (+0.78)</t>
        </is>
      </c>
    </row>
    <row r="503">
      <c r="A503" t="inlineStr">
        <is>
          <t>1b94d0570d1cb93ba90d7d62a9a75fe1</t>
        </is>
      </c>
      <c r="B503" t="inlineStr">
        <is>
          <t>2024-04-03</t>
        </is>
      </c>
      <c r="C503" t="inlineStr">
        <is>
          <t>F9</t>
        </is>
      </c>
      <c r="D503" t="inlineStr">
        <is>
          <t>CLE</t>
        </is>
      </c>
      <c r="E503" t="inlineStr">
        <is>
          <t>MIA</t>
        </is>
      </c>
      <c r="F503" t="inlineStr">
        <is>
          <t>CLE-MIA</t>
        </is>
      </c>
      <c r="G503" t="n">
        <v>18</v>
      </c>
      <c r="H503" t="n">
        <v>1</v>
      </c>
      <c r="I503" t="n">
        <v>0.99552</v>
      </c>
      <c r="J503" t="n">
        <v>1</v>
      </c>
      <c r="K503" t="n">
        <v>117</v>
      </c>
      <c r="L503" t="inlineStr">
        <is>
          <t>projected turn slack (min)=-67 (+2.28); aircraft's latest known departure delay=286 (+0.95); inbound leg overdue, not yet departed (min)=117 (+0.72)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2026-10-02T11:50:54Z</dcterms:created>
  <dcterms:modified xmlns:dcterms="http://purl.org/dc/terms/" xmlns:xsi="http://www.w3.org/2001/XMLSchema-instance" xsi:type="dcterms:W3CDTF">2026-10-02T11:50:54Z</dcterms:modified>
</cp:coreProperties>
</file>